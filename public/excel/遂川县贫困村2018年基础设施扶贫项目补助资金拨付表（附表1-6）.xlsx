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9930"/>
  </bookViews>
  <sheets>
    <sheet name="未脱贫村拓宽" sheetId="3" r:id="rId1"/>
    <sheet name="未脱贫村通组路" sheetId="1" r:id="rId2"/>
    <sheet name="未脱贫村便民桥" sheetId="2" r:id="rId3"/>
    <sheet name="深度贫困村拓宽" sheetId="4" r:id="rId4"/>
    <sheet name="深度贫困村通组路" sheetId="5" r:id="rId5"/>
    <sheet name="深度贫困村便民桥" sheetId="6" r:id="rId6"/>
  </sheets>
  <definedNames>
    <definedName name="_xlnm._FilterDatabase" localSheetId="0" hidden="1">未脱贫村拓宽!$A$3:$S$5</definedName>
    <definedName name="_xlnm._FilterDatabase" localSheetId="1" hidden="1">未脱贫村通组路!$A$4:$T$24</definedName>
    <definedName name="_xlnm._FilterDatabase" localSheetId="2" hidden="1">未脱贫村便民桥!$A$4:$R$7</definedName>
    <definedName name="_xlnm._FilterDatabase" localSheetId="3" hidden="1">深度贫困村拓宽!$A$4:$Q$6</definedName>
    <definedName name="_xlnm._FilterDatabase" localSheetId="5" hidden="1">深度贫困村便民桥!$A$4:$Q$8</definedName>
    <definedName name="_xlnm._FilterDatabase" localSheetId="4" hidden="1">深度贫困村通组路!$A$4:$Q$11</definedName>
    <definedName name="_xlnm.Print_Titles" localSheetId="1">未脱贫村通组路!$3:$3</definedName>
    <definedName name="_xlnm.Print_Titles" localSheetId="0">未脱贫村拓宽!$3:$3</definedName>
  </definedNames>
  <calcPr calcId="144525"/>
</workbook>
</file>

<file path=xl/sharedStrings.xml><?xml version="1.0" encoding="utf-8"?>
<sst xmlns="http://schemas.openxmlformats.org/spreadsheetml/2006/main" count="133">
  <si>
    <t>附件1：</t>
  </si>
  <si>
    <t>遂川县未脱贫贫困村2018年通村道路拓宽建设项目补助资金拨付表</t>
  </si>
  <si>
    <t>序号</t>
  </si>
  <si>
    <t>乡镇</t>
  </si>
  <si>
    <t>贫困村</t>
  </si>
  <si>
    <t>项目实施地点</t>
  </si>
  <si>
    <t>村点类别</t>
  </si>
  <si>
    <t>项目名称</t>
  </si>
  <si>
    <t>硬化实施时间</t>
  </si>
  <si>
    <t>是否新建路基</t>
  </si>
  <si>
    <t>拟硬化里程（公里）</t>
  </si>
  <si>
    <t>拟拓宽路面宽度（米）</t>
  </si>
  <si>
    <t>计划补助资金（万元）</t>
  </si>
  <si>
    <t>责任单位</t>
  </si>
  <si>
    <t>行业主管部门</t>
  </si>
  <si>
    <t>工程进展情况</t>
  </si>
  <si>
    <t>本次拨款</t>
  </si>
  <si>
    <t>合计</t>
  </si>
  <si>
    <t>设计阶段</t>
  </si>
  <si>
    <t>招标阶段</t>
  </si>
  <si>
    <t>正在实施</t>
  </si>
  <si>
    <t>已完工</t>
  </si>
  <si>
    <t>已完工里程</t>
  </si>
  <si>
    <t>左安镇</t>
  </si>
  <si>
    <t>鹤坑村</t>
  </si>
  <si>
    <t>三类村</t>
  </si>
  <si>
    <t>半径至鹤坑村道拓宽</t>
  </si>
  <si>
    <t>2018年</t>
  </si>
  <si>
    <t>是</t>
  </si>
  <si>
    <t>加宽1.5米</t>
  </si>
  <si>
    <t>左安镇政府</t>
  </si>
  <si>
    <t>县交通局</t>
  </si>
  <si>
    <t>附件2：</t>
  </si>
  <si>
    <t>遂川县未脱贫贫困村2018年通组公路建设项目补助资金拨付表</t>
  </si>
  <si>
    <t>路面宽度（米）</t>
  </si>
  <si>
    <t>备注</t>
  </si>
  <si>
    <t>杨梅组</t>
  </si>
  <si>
    <t>村道至杨梅通组路</t>
  </si>
  <si>
    <t>否</t>
  </si>
  <si>
    <t>下村组</t>
  </si>
  <si>
    <t>村道至下村通组路</t>
  </si>
  <si>
    <t>海螺组</t>
  </si>
  <si>
    <t>村道至海螺通组路</t>
  </si>
  <si>
    <t>垠头组</t>
  </si>
  <si>
    <t>菜花至垠头通组路</t>
  </si>
  <si>
    <t>横坑至苦竹排通组路</t>
  </si>
  <si>
    <t>横坑组</t>
  </si>
  <si>
    <t>菜花至横坑通组路</t>
  </si>
  <si>
    <t>未动工</t>
  </si>
  <si>
    <t>坳背组</t>
  </si>
  <si>
    <t>石门至坳背通组路</t>
  </si>
  <si>
    <t>菜花组</t>
  </si>
  <si>
    <t>菜花至塅心通组路</t>
  </si>
  <si>
    <t>在造桥</t>
  </si>
  <si>
    <t>半坑组</t>
  </si>
  <si>
    <t>村道至下屋通组路</t>
  </si>
  <si>
    <t>桃源村</t>
  </si>
  <si>
    <t>垠背组</t>
  </si>
  <si>
    <t>新桥至垠背通组公路</t>
  </si>
  <si>
    <t>江屋组</t>
  </si>
  <si>
    <t>洞底至江屋通组公路</t>
  </si>
  <si>
    <t>下窝组</t>
  </si>
  <si>
    <t>村委会至下窝通组公路</t>
  </si>
  <si>
    <t>平整路基</t>
  </si>
  <si>
    <t>兰湖组</t>
  </si>
  <si>
    <t>棚下至兰湖通组公路</t>
  </si>
  <si>
    <t>井下组</t>
  </si>
  <si>
    <t>竹山至井下通组公路</t>
  </si>
  <si>
    <t>上棚组</t>
  </si>
  <si>
    <t>上棚至七号观景台</t>
  </si>
  <si>
    <t>坳坵组</t>
  </si>
  <si>
    <t>坳坵至下窝安置点</t>
  </si>
  <si>
    <t>望月村</t>
  </si>
  <si>
    <t>上坝组</t>
  </si>
  <si>
    <t>上坝至白毛洲通组路</t>
  </si>
  <si>
    <t>下坝组</t>
  </si>
  <si>
    <t>下坝至江屋通组路</t>
  </si>
  <si>
    <t>上坝至曾屋通组路</t>
  </si>
  <si>
    <t>曲洞组</t>
  </si>
  <si>
    <t>曲洞至槽下通组路</t>
  </si>
  <si>
    <t>附件3：</t>
  </si>
  <si>
    <t>遂川县未脱贫贫困村2018年便民桥建设项目补助资金拨付表</t>
  </si>
  <si>
    <t>主要建设内容及规模</t>
  </si>
  <si>
    <r>
      <rPr>
        <b/>
        <sz val="11"/>
        <color indexed="8"/>
        <rFont val="仿宋"/>
        <charset val="134"/>
      </rPr>
      <t>桥梁建设面积（M</t>
    </r>
    <r>
      <rPr>
        <b/>
        <vertAlign val="superscript"/>
        <sz val="11"/>
        <color indexed="8"/>
        <rFont val="仿宋"/>
        <charset val="134"/>
      </rPr>
      <t>2</t>
    </r>
    <r>
      <rPr>
        <b/>
        <sz val="11"/>
        <color indexed="8"/>
        <rFont val="仿宋"/>
        <charset val="134"/>
      </rPr>
      <t>）</t>
    </r>
  </si>
  <si>
    <t>塅心便民桥</t>
  </si>
  <si>
    <t>菜花组塅心</t>
  </si>
  <si>
    <t>桥梁长10米，宽4.5米</t>
  </si>
  <si>
    <t>新建</t>
  </si>
  <si>
    <t>河背便民桥</t>
  </si>
  <si>
    <t>菜花组河背</t>
  </si>
  <si>
    <t>桥梁长7米，宽4米</t>
  </si>
  <si>
    <t>上棚至梨垠便民桥</t>
  </si>
  <si>
    <t>上棚</t>
  </si>
  <si>
    <t>桥梁长10米，宽3.5米</t>
  </si>
  <si>
    <t>附表4：</t>
  </si>
  <si>
    <t>遂川县8个深度贫困村通村路拓宽项目补助资金拨付表</t>
  </si>
  <si>
    <t>深度贫困村</t>
  </si>
  <si>
    <t>建设地点</t>
  </si>
  <si>
    <t>硬化里程（KM）</t>
  </si>
  <si>
    <t>路面宽度（M）</t>
  </si>
  <si>
    <t>计划下达补助资金（万元）</t>
  </si>
  <si>
    <t>项目单位</t>
  </si>
  <si>
    <t>行业监管部门</t>
  </si>
  <si>
    <t>安全村</t>
  </si>
  <si>
    <t>安全村村道拓宽</t>
  </si>
  <si>
    <t>安全村、横岗村、丰城村</t>
  </si>
  <si>
    <t>注：深度贫困村通村路拓宽补助标准为45万元/KM（其中含交通口补助资金）。</t>
  </si>
  <si>
    <t>附表5：</t>
  </si>
  <si>
    <t>遂川县8个深度贫困村通组公路项目补助资金拨付表</t>
  </si>
  <si>
    <t>横安公路至村小学通组公路</t>
  </si>
  <si>
    <t>樟坪</t>
  </si>
  <si>
    <t>山青至岭头通组公路</t>
  </si>
  <si>
    <t>山青</t>
  </si>
  <si>
    <t>换新至九京通组公路</t>
  </si>
  <si>
    <t>换新</t>
  </si>
  <si>
    <t>水溪至彭屋</t>
  </si>
  <si>
    <t>水溪</t>
  </si>
  <si>
    <t>注：深度贫困村通组路建设范围为15户以上自然村通组路，补助标准为38万元/KM（其中3万元为验收合格后奖补资金）。</t>
  </si>
  <si>
    <t>分管领导：</t>
  </si>
  <si>
    <t>审核：</t>
  </si>
  <si>
    <t>制表：</t>
  </si>
  <si>
    <t>附表6：</t>
  </si>
  <si>
    <t>遂川县8个深度贫困村便民桥建设项目补助资金拨付表</t>
  </si>
  <si>
    <t>便民桥长度（M）</t>
  </si>
  <si>
    <t>便民桥宽度（M）</t>
  </si>
  <si>
    <t>樟坪桥</t>
  </si>
  <si>
    <t>6米</t>
  </si>
  <si>
    <t>鸡公颈桥</t>
  </si>
  <si>
    <t>鸡公颈（村道拓宽路上）</t>
  </si>
  <si>
    <t>已取消</t>
  </si>
  <si>
    <t>竹溪桥</t>
  </si>
  <si>
    <t>竹溪（村道拓宽路上）</t>
  </si>
  <si>
    <r>
      <rPr>
        <b/>
        <sz val="11"/>
        <rFont val="仿宋"/>
        <charset val="134"/>
      </rPr>
      <t>注：深度贫困村便民桥建设补助标准为4000元/M</t>
    </r>
    <r>
      <rPr>
        <b/>
        <vertAlign val="superscript"/>
        <sz val="11"/>
        <rFont val="仿宋"/>
        <charset val="134"/>
      </rPr>
      <t>2</t>
    </r>
    <r>
      <rPr>
        <b/>
        <sz val="11"/>
        <rFont val="仿宋"/>
        <charset val="134"/>
      </rPr>
      <t>。</t>
    </r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</si>
</sst>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0_);[Red]\(0.000\)"/>
  </numFmts>
  <fonts count="38">
    <font>
      <sz val="12"/>
      <name val="宋体"/>
      <charset val="134"/>
    </font>
    <font>
      <b/>
      <sz val="11"/>
      <name val="仿宋"/>
      <charset val="134"/>
    </font>
    <font>
      <sz val="11"/>
      <name val="仿宋"/>
      <charset val="134"/>
    </font>
    <font>
      <b/>
      <sz val="22"/>
      <name val="仿宋"/>
      <charset val="134"/>
    </font>
    <font>
      <b/>
      <sz val="12"/>
      <name val="宋体"/>
      <charset val="134"/>
    </font>
    <font>
      <b/>
      <sz val="11"/>
      <color indexed="8"/>
      <name val="仿宋"/>
      <charset val="134"/>
    </font>
    <font>
      <b/>
      <sz val="20"/>
      <color indexed="8"/>
      <name val="仿宋"/>
      <charset val="134"/>
    </font>
    <font>
      <sz val="11"/>
      <color indexed="8"/>
      <name val="仿宋"/>
      <charset val="134"/>
    </font>
    <font>
      <sz val="9"/>
      <name val="宋体"/>
      <charset val="134"/>
    </font>
    <font>
      <b/>
      <sz val="12"/>
      <color indexed="8"/>
      <name val="宋体"/>
      <charset val="134"/>
    </font>
    <font>
      <sz val="11"/>
      <color indexed="8"/>
      <name val="宋体"/>
      <charset val="134"/>
    </font>
    <font>
      <sz val="9"/>
      <color indexed="8"/>
      <name val="仿宋"/>
      <charset val="134"/>
    </font>
    <font>
      <sz val="12"/>
      <name val="Arial"/>
      <charset val="134"/>
    </font>
    <font>
      <sz val="12"/>
      <color indexed="10"/>
      <name val="宋体"/>
      <charset val="134"/>
    </font>
    <font>
      <sz val="9"/>
      <name val="仿宋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name val="Arial"/>
      <charset val="134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vertAlign val="superscript"/>
      <sz val="11"/>
      <name val="仿宋"/>
      <charset val="134"/>
    </font>
    <font>
      <b/>
      <vertAlign val="superscript"/>
      <sz val="11"/>
      <color indexed="8"/>
      <name val="仿宋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2" fontId="18" fillId="0" borderId="0" applyFont="0" applyFill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9" fillId="23" borderId="15" applyNumberFormat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18" fillId="27" borderId="16" applyNumberFormat="0" applyFont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0" fillId="26" borderId="15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10" fillId="0" borderId="0">
      <alignment vertical="center"/>
    </xf>
    <xf numFmtId="0" fontId="33" fillId="0" borderId="18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Fill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5" fillId="0" borderId="0" xfId="32" applyFont="1" applyFill="1" applyAlignment="1">
      <alignment horizontal="left" vertical="center"/>
    </xf>
    <xf numFmtId="0" fontId="6" fillId="0" borderId="1" xfId="32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5" fillId="0" borderId="4" xfId="32" applyFont="1" applyFill="1" applyBorder="1" applyAlignment="1">
      <alignment horizontal="center" vertical="center" wrapText="1"/>
    </xf>
    <xf numFmtId="0" fontId="5" fillId="0" borderId="4" xfId="53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7" fillId="0" borderId="10" xfId="11" applyFont="1" applyFill="1" applyBorder="1" applyAlignment="1">
      <alignment horizontal="center" vertical="center" wrapText="1"/>
    </xf>
    <xf numFmtId="0" fontId="7" fillId="0" borderId="4" xfId="1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0" borderId="4" xfId="0" applyFill="1" applyBorder="1">
      <alignment vertical="center"/>
    </xf>
    <xf numFmtId="0" fontId="0" fillId="3" borderId="4" xfId="0" applyFill="1" applyBorder="1">
      <alignment vertical="center"/>
    </xf>
    <xf numFmtId="0" fontId="0" fillId="0" borderId="8" xfId="0" applyFill="1" applyBorder="1">
      <alignment vertical="center"/>
    </xf>
    <xf numFmtId="0" fontId="8" fillId="3" borderId="8" xfId="0" applyFont="1" applyFill="1" applyBorder="1">
      <alignment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53" applyFont="1" applyAlignment="1">
      <alignment horizontal="left" vertical="center" wrapText="1"/>
    </xf>
    <xf numFmtId="0" fontId="9" fillId="0" borderId="0" xfId="53" applyFont="1" applyAlignment="1">
      <alignment vertical="center" wrapText="1"/>
    </xf>
    <xf numFmtId="0" fontId="6" fillId="0" borderId="1" xfId="53" applyFont="1" applyBorder="1" applyAlignment="1">
      <alignment horizontal="center" vertical="center" wrapText="1"/>
    </xf>
    <xf numFmtId="0" fontId="5" fillId="0" borderId="4" xfId="53" applyFont="1" applyBorder="1" applyAlignment="1">
      <alignment horizontal="center" vertical="center" wrapText="1"/>
    </xf>
    <xf numFmtId="0" fontId="7" fillId="0" borderId="4" xfId="13" applyFont="1" applyFill="1" applyBorder="1" applyAlignment="1">
      <alignment horizontal="center" vertical="center" wrapText="1"/>
    </xf>
    <xf numFmtId="0" fontId="7" fillId="0" borderId="4" xfId="11" applyFont="1" applyBorder="1" applyAlignment="1">
      <alignment horizontal="center" vertical="center" wrapText="1"/>
    </xf>
    <xf numFmtId="0" fontId="10" fillId="0" borderId="0" xfId="53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3" borderId="4" xfId="13" applyFont="1" applyFill="1" applyBorder="1" applyAlignment="1">
      <alignment horizontal="center" vertical="center" wrapText="1"/>
    </xf>
    <xf numFmtId="0" fontId="0" fillId="3" borderId="10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5" fillId="0" borderId="0" xfId="55" applyFont="1" applyAlignment="1">
      <alignment horizontal="left" vertical="center" wrapText="1"/>
    </xf>
    <xf numFmtId="0" fontId="9" fillId="0" borderId="0" xfId="55" applyFont="1" applyAlignment="1">
      <alignment vertical="center" wrapText="1"/>
    </xf>
    <xf numFmtId="0" fontId="6" fillId="0" borderId="1" xfId="55" applyFont="1" applyBorder="1" applyAlignment="1">
      <alignment horizontal="center" vertical="center" wrapText="1"/>
    </xf>
    <xf numFmtId="0" fontId="5" fillId="0" borderId="4" xfId="55" applyFont="1" applyBorder="1" applyAlignment="1">
      <alignment horizontal="center" vertical="center" wrapText="1"/>
    </xf>
    <xf numFmtId="0" fontId="5" fillId="0" borderId="4" xfId="55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2" fillId="0" borderId="2" xfId="13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76" fontId="0" fillId="0" borderId="0" xfId="0" applyNumberFormat="1" applyAlignment="1">
      <alignment vertical="center" wrapText="1"/>
    </xf>
    <xf numFmtId="0" fontId="10" fillId="0" borderId="0" xfId="55" applyAlignment="1">
      <alignment horizontal="center" vertical="center" wrapText="1"/>
    </xf>
    <xf numFmtId="0" fontId="2" fillId="0" borderId="2" xfId="54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176" fontId="13" fillId="3" borderId="4" xfId="0" applyNumberFormat="1" applyFont="1" applyFill="1" applyBorder="1" applyAlignment="1">
      <alignment vertical="center" wrapText="1"/>
    </xf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常规_Sheet2 2" xfId="11"/>
    <cellStyle name="百分比" xfId="12" builtinId="5"/>
    <cellStyle name="常规_Sheet1 2" xfId="13"/>
    <cellStyle name="已访问的超链接" xfId="14" builtinId="9"/>
    <cellStyle name="注释" xfId="15" builtinId="10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常规_Sheet2" xfId="32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  <cellStyle name="常规 3" xfId="52"/>
    <cellStyle name="常规_Sheet1" xfId="53"/>
    <cellStyle name="常规_Sheet1 2_2018年17个预脱贫贫困村交通基础设施建设扶贫项目申报表" xfId="54"/>
    <cellStyle name="常规_Sheet1_2018年17个预脱贫贫困村交通基础设施建设扶贫项目申报表" xfId="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tabSelected="1" workbookViewId="0">
      <selection activeCell="T6" sqref="T6"/>
    </sheetView>
  </sheetViews>
  <sheetFormatPr defaultColWidth="9" defaultRowHeight="14.25" outlineLevelRow="5"/>
  <cols>
    <col min="1" max="1" width="4" style="51" customWidth="1"/>
    <col min="2" max="2" width="5.875" style="2" customWidth="1"/>
    <col min="3" max="3" width="6.875" style="2" customWidth="1"/>
    <col min="4" max="4" width="6.625" style="2" customWidth="1"/>
    <col min="5" max="5" width="6.375" style="2" customWidth="1"/>
    <col min="6" max="6" width="15.625" style="2" customWidth="1"/>
    <col min="7" max="7" width="5.875" style="2" customWidth="1"/>
    <col min="8" max="8" width="4.625" style="2" customWidth="1"/>
    <col min="9" max="9" width="6.75" style="2" customWidth="1"/>
    <col min="10" max="10" width="8.875" style="2" customWidth="1"/>
    <col min="11" max="11" width="7.125" style="2" customWidth="1"/>
    <col min="12" max="12" width="8.25" style="2" customWidth="1"/>
    <col min="13" max="13" width="8.375" style="2" customWidth="1"/>
    <col min="14" max="17" width="5.625" style="2" customWidth="1"/>
    <col min="18" max="18" width="7.5" style="2" customWidth="1"/>
    <col min="19" max="16384" width="9" style="2"/>
  </cols>
  <sheetData>
    <row r="1" ht="24.75" customHeight="1" spans="1:14">
      <c r="A1" s="74" t="s">
        <v>0</v>
      </c>
      <c r="B1" s="74"/>
      <c r="C1" s="74"/>
      <c r="D1" s="75"/>
      <c r="E1" s="75"/>
      <c r="F1" s="75"/>
      <c r="G1" s="75"/>
      <c r="H1" s="75"/>
      <c r="I1" s="75"/>
      <c r="J1" s="75"/>
      <c r="K1" s="75"/>
      <c r="L1" s="75"/>
      <c r="M1" s="75"/>
      <c r="N1" s="83"/>
    </row>
    <row r="2" ht="51.75" customHeight="1" spans="1:19">
      <c r="A2" s="76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ht="70.5" customHeight="1" spans="1:19">
      <c r="A3" s="11" t="s">
        <v>2</v>
      </c>
      <c r="B3" s="77" t="s">
        <v>3</v>
      </c>
      <c r="C3" s="77" t="s">
        <v>4</v>
      </c>
      <c r="D3" s="77" t="s">
        <v>5</v>
      </c>
      <c r="E3" s="77" t="s">
        <v>6</v>
      </c>
      <c r="F3" s="77" t="s">
        <v>7</v>
      </c>
      <c r="G3" s="78" t="s">
        <v>8</v>
      </c>
      <c r="H3" s="77" t="s">
        <v>9</v>
      </c>
      <c r="I3" s="77" t="s">
        <v>10</v>
      </c>
      <c r="J3" s="77" t="s">
        <v>11</v>
      </c>
      <c r="K3" s="77" t="s">
        <v>12</v>
      </c>
      <c r="L3" s="77" t="s">
        <v>13</v>
      </c>
      <c r="M3" s="77" t="s">
        <v>14</v>
      </c>
      <c r="N3" s="42" t="s">
        <v>15</v>
      </c>
      <c r="O3" s="42"/>
      <c r="P3" s="42"/>
      <c r="Q3" s="42"/>
      <c r="R3" s="42"/>
      <c r="S3" s="63" t="s">
        <v>16</v>
      </c>
    </row>
    <row r="4" ht="30" customHeight="1" spans="1:19">
      <c r="A4" s="24" t="s">
        <v>17</v>
      </c>
      <c r="B4" s="25"/>
      <c r="C4" s="26"/>
      <c r="D4" s="77"/>
      <c r="E4" s="77"/>
      <c r="F4" s="77"/>
      <c r="G4" s="78"/>
      <c r="H4" s="77"/>
      <c r="I4" s="77">
        <f>SUM(I5:I5)</f>
        <v>3.9</v>
      </c>
      <c r="J4" s="77"/>
      <c r="K4" s="77">
        <f>SUM(K5:K5)</f>
        <v>136.5</v>
      </c>
      <c r="L4" s="77"/>
      <c r="M4" s="77"/>
      <c r="N4" s="9" t="s">
        <v>18</v>
      </c>
      <c r="O4" s="9" t="s">
        <v>19</v>
      </c>
      <c r="P4" s="9" t="s">
        <v>20</v>
      </c>
      <c r="Q4" s="9" t="s">
        <v>21</v>
      </c>
      <c r="R4" s="9" t="s">
        <v>22</v>
      </c>
      <c r="S4" s="65"/>
    </row>
    <row r="5" s="73" customFormat="1" ht="30" customHeight="1" spans="1:20">
      <c r="A5" s="79">
        <v>4</v>
      </c>
      <c r="B5" s="80" t="s">
        <v>23</v>
      </c>
      <c r="C5" s="80" t="s">
        <v>24</v>
      </c>
      <c r="D5" s="80" t="s">
        <v>24</v>
      </c>
      <c r="E5" s="80" t="s">
        <v>25</v>
      </c>
      <c r="F5" s="80" t="s">
        <v>26</v>
      </c>
      <c r="G5" s="81" t="s">
        <v>27</v>
      </c>
      <c r="H5" s="80" t="s">
        <v>28</v>
      </c>
      <c r="I5" s="80">
        <v>3.9</v>
      </c>
      <c r="J5" s="80" t="s">
        <v>29</v>
      </c>
      <c r="K5" s="84">
        <v>136.5</v>
      </c>
      <c r="L5" s="80" t="s">
        <v>30</v>
      </c>
      <c r="M5" s="84" t="s">
        <v>31</v>
      </c>
      <c r="N5" s="85"/>
      <c r="O5" s="86"/>
      <c r="P5" s="87">
        <v>1</v>
      </c>
      <c r="Q5" s="88"/>
      <c r="R5" s="87">
        <v>0.4</v>
      </c>
      <c r="S5" s="86">
        <f>K5*50%</f>
        <v>68.25</v>
      </c>
      <c r="T5" s="73">
        <v>55</v>
      </c>
    </row>
    <row r="6" spans="7:16">
      <c r="G6" s="82"/>
      <c r="P6" s="82"/>
    </row>
  </sheetData>
  <autoFilter ref="A3:S5">
    <extLst/>
  </autoFilter>
  <mergeCells count="5">
    <mergeCell ref="A1:C1"/>
    <mergeCell ref="A2:S2"/>
    <mergeCell ref="N3:R3"/>
    <mergeCell ref="A4:C4"/>
    <mergeCell ref="S3:S4"/>
  </mergeCells>
  <pageMargins left="0.259027777777778" right="0.209027777777778" top="0.984027777777778" bottom="0.984027777777778" header="0.511805555555556" footer="0.511805555555556"/>
  <pageSetup paperSize="9" orientation="landscape"/>
  <headerFooter alignWithMargins="0"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"/>
  <sheetViews>
    <sheetView topLeftCell="A16" workbookViewId="0">
      <selection activeCell="S5" sqref="S5:S28"/>
    </sheetView>
  </sheetViews>
  <sheetFormatPr defaultColWidth="9" defaultRowHeight="14.25"/>
  <cols>
    <col min="1" max="1" width="4.875" style="51" customWidth="1"/>
    <col min="2" max="2" width="5.5" style="2" customWidth="1"/>
    <col min="3" max="5" width="5" style="2" customWidth="1"/>
    <col min="6" max="6" width="19" style="2" customWidth="1"/>
    <col min="7" max="10" width="6.375" style="2" customWidth="1"/>
    <col min="11" max="11" width="8.25" style="2" customWidth="1"/>
    <col min="12" max="12" width="7.875" style="2" customWidth="1"/>
    <col min="13" max="13" width="7" style="2" customWidth="1"/>
    <col min="14" max="15" width="4.625" style="2" customWidth="1"/>
    <col min="16" max="16" width="6.25" style="2" customWidth="1"/>
    <col min="17" max="17" width="5" style="2" customWidth="1"/>
    <col min="18" max="18" width="5.875" style="2" customWidth="1"/>
    <col min="19" max="19" width="8" style="2" customWidth="1"/>
    <col min="20" max="20" width="7.625" style="2" customWidth="1"/>
    <col min="21" max="16384" width="9" style="2"/>
  </cols>
  <sheetData>
    <row r="1" ht="18.75" customHeight="1" spans="1:14">
      <c r="A1" s="52" t="s">
        <v>32</v>
      </c>
      <c r="B1" s="52"/>
      <c r="C1" s="52"/>
      <c r="D1" s="53"/>
      <c r="E1" s="53"/>
      <c r="F1" s="53"/>
      <c r="G1" s="53"/>
      <c r="H1" s="53"/>
      <c r="I1" s="53"/>
      <c r="J1" s="53"/>
      <c r="K1" s="53"/>
      <c r="L1" s="53"/>
      <c r="M1" s="53"/>
      <c r="N1" s="58"/>
    </row>
    <row r="2" ht="38.25" customHeight="1" spans="1:20">
      <c r="A2" s="54" t="s">
        <v>33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ht="76.5" customHeight="1" spans="1:20">
      <c r="A3" s="22" t="s">
        <v>2</v>
      </c>
      <c r="B3" s="55" t="s">
        <v>3</v>
      </c>
      <c r="C3" s="55" t="s">
        <v>4</v>
      </c>
      <c r="D3" s="55" t="s">
        <v>5</v>
      </c>
      <c r="E3" s="55" t="s">
        <v>6</v>
      </c>
      <c r="F3" s="55" t="s">
        <v>7</v>
      </c>
      <c r="G3" s="37" t="s">
        <v>8</v>
      </c>
      <c r="H3" s="55" t="s">
        <v>9</v>
      </c>
      <c r="I3" s="55" t="s">
        <v>10</v>
      </c>
      <c r="J3" s="55" t="s">
        <v>34</v>
      </c>
      <c r="K3" s="55" t="s">
        <v>12</v>
      </c>
      <c r="L3" s="55" t="s">
        <v>13</v>
      </c>
      <c r="M3" s="55" t="s">
        <v>14</v>
      </c>
      <c r="N3" s="42" t="s">
        <v>15</v>
      </c>
      <c r="O3" s="42"/>
      <c r="P3" s="42"/>
      <c r="Q3" s="42"/>
      <c r="R3" s="42"/>
      <c r="S3" s="62" t="s">
        <v>16</v>
      </c>
      <c r="T3" s="63" t="s">
        <v>35</v>
      </c>
    </row>
    <row r="4" ht="51" customHeight="1" spans="1:20">
      <c r="A4" s="22"/>
      <c r="B4" s="55"/>
      <c r="C4" s="55"/>
      <c r="D4" s="55"/>
      <c r="E4" s="55"/>
      <c r="F4" s="55"/>
      <c r="G4" s="37"/>
      <c r="H4" s="55"/>
      <c r="I4" s="55"/>
      <c r="J4" s="55"/>
      <c r="K4" s="55"/>
      <c r="L4" s="55"/>
      <c r="M4" s="55"/>
      <c r="N4" s="9" t="s">
        <v>18</v>
      </c>
      <c r="O4" s="9" t="s">
        <v>19</v>
      </c>
      <c r="P4" s="9" t="s">
        <v>20</v>
      </c>
      <c r="Q4" s="9" t="s">
        <v>21</v>
      </c>
      <c r="R4" s="9" t="s">
        <v>22</v>
      </c>
      <c r="S4" s="64"/>
      <c r="T4" s="65"/>
    </row>
    <row r="5" ht="30" customHeight="1" spans="1:20">
      <c r="A5" s="22">
        <v>19</v>
      </c>
      <c r="B5" s="56" t="s">
        <v>23</v>
      </c>
      <c r="C5" s="56" t="s">
        <v>24</v>
      </c>
      <c r="D5" s="56" t="s">
        <v>36</v>
      </c>
      <c r="E5" s="56" t="s">
        <v>25</v>
      </c>
      <c r="F5" s="56" t="s">
        <v>37</v>
      </c>
      <c r="G5" s="9" t="s">
        <v>27</v>
      </c>
      <c r="H5" s="56" t="s">
        <v>38</v>
      </c>
      <c r="I5" s="56">
        <v>1.2</v>
      </c>
      <c r="J5" s="56">
        <v>3.5</v>
      </c>
      <c r="K5" s="56">
        <v>42</v>
      </c>
      <c r="L5" s="56" t="s">
        <v>30</v>
      </c>
      <c r="M5" s="56" t="s">
        <v>31</v>
      </c>
      <c r="N5" s="59"/>
      <c r="O5" s="16"/>
      <c r="P5" s="16"/>
      <c r="Q5" s="60">
        <v>1</v>
      </c>
      <c r="R5" s="66"/>
      <c r="S5" s="67">
        <f t="shared" ref="S5:S9" si="0">K5*50%</f>
        <v>21</v>
      </c>
      <c r="T5" s="68"/>
    </row>
    <row r="6" ht="30" customHeight="1" spans="1:20">
      <c r="A6" s="22">
        <v>20</v>
      </c>
      <c r="B6" s="56" t="s">
        <v>23</v>
      </c>
      <c r="C6" s="56" t="s">
        <v>24</v>
      </c>
      <c r="D6" s="56" t="s">
        <v>39</v>
      </c>
      <c r="E6" s="56" t="s">
        <v>25</v>
      </c>
      <c r="F6" s="56" t="s">
        <v>40</v>
      </c>
      <c r="G6" s="9" t="s">
        <v>27</v>
      </c>
      <c r="H6" s="56" t="s">
        <v>38</v>
      </c>
      <c r="I6" s="56">
        <v>0.5</v>
      </c>
      <c r="J6" s="56">
        <v>3.5</v>
      </c>
      <c r="K6" s="56">
        <v>17.5</v>
      </c>
      <c r="L6" s="56" t="s">
        <v>30</v>
      </c>
      <c r="M6" s="56" t="s">
        <v>31</v>
      </c>
      <c r="N6" s="59"/>
      <c r="O6" s="16"/>
      <c r="P6" s="16"/>
      <c r="Q6" s="60">
        <v>1</v>
      </c>
      <c r="R6" s="66"/>
      <c r="S6" s="67">
        <f t="shared" si="0"/>
        <v>8.75</v>
      </c>
      <c r="T6" s="68"/>
    </row>
    <row r="7" ht="30" customHeight="1" spans="1:20">
      <c r="A7" s="22">
        <v>21</v>
      </c>
      <c r="B7" s="56" t="s">
        <v>23</v>
      </c>
      <c r="C7" s="56" t="s">
        <v>24</v>
      </c>
      <c r="D7" s="56" t="s">
        <v>41</v>
      </c>
      <c r="E7" s="56" t="s">
        <v>25</v>
      </c>
      <c r="F7" s="56" t="s">
        <v>42</v>
      </c>
      <c r="G7" s="9" t="s">
        <v>27</v>
      </c>
      <c r="H7" s="56" t="s">
        <v>38</v>
      </c>
      <c r="I7" s="56">
        <v>0.2</v>
      </c>
      <c r="J7" s="56">
        <v>3.5</v>
      </c>
      <c r="K7" s="56">
        <v>7</v>
      </c>
      <c r="L7" s="56" t="s">
        <v>30</v>
      </c>
      <c r="M7" s="56" t="s">
        <v>31</v>
      </c>
      <c r="N7" s="59"/>
      <c r="O7" s="16"/>
      <c r="P7" s="16"/>
      <c r="Q7" s="60">
        <v>1</v>
      </c>
      <c r="R7" s="66"/>
      <c r="S7" s="67">
        <f t="shared" si="0"/>
        <v>3.5</v>
      </c>
      <c r="T7" s="68"/>
    </row>
    <row r="8" ht="30" customHeight="1" spans="1:20">
      <c r="A8" s="22">
        <v>22</v>
      </c>
      <c r="B8" s="56" t="s">
        <v>23</v>
      </c>
      <c r="C8" s="56" t="s">
        <v>24</v>
      </c>
      <c r="D8" s="56" t="s">
        <v>43</v>
      </c>
      <c r="E8" s="56" t="s">
        <v>25</v>
      </c>
      <c r="F8" s="56" t="s">
        <v>44</v>
      </c>
      <c r="G8" s="9" t="s">
        <v>27</v>
      </c>
      <c r="H8" s="56" t="s">
        <v>38</v>
      </c>
      <c r="I8" s="56">
        <v>0.85</v>
      </c>
      <c r="J8" s="56">
        <v>3.5</v>
      </c>
      <c r="K8" s="56">
        <v>29.75</v>
      </c>
      <c r="L8" s="56" t="s">
        <v>30</v>
      </c>
      <c r="M8" s="56" t="s">
        <v>31</v>
      </c>
      <c r="N8" s="59"/>
      <c r="O8" s="16"/>
      <c r="P8" s="16"/>
      <c r="Q8" s="60">
        <v>1</v>
      </c>
      <c r="R8" s="66"/>
      <c r="S8" s="67">
        <f t="shared" si="0"/>
        <v>14.875</v>
      </c>
      <c r="T8" s="68"/>
    </row>
    <row r="9" ht="30" customHeight="1" spans="1:20">
      <c r="A9" s="22">
        <v>23</v>
      </c>
      <c r="B9" s="56" t="s">
        <v>23</v>
      </c>
      <c r="C9" s="56" t="s">
        <v>24</v>
      </c>
      <c r="D9" s="56" t="s">
        <v>43</v>
      </c>
      <c r="E9" s="56" t="s">
        <v>25</v>
      </c>
      <c r="F9" s="56" t="s">
        <v>45</v>
      </c>
      <c r="G9" s="9" t="s">
        <v>27</v>
      </c>
      <c r="H9" s="56" t="s">
        <v>38</v>
      </c>
      <c r="I9" s="56">
        <v>0.4</v>
      </c>
      <c r="J9" s="56">
        <v>3.5</v>
      </c>
      <c r="K9" s="56">
        <v>14</v>
      </c>
      <c r="L9" s="56" t="s">
        <v>30</v>
      </c>
      <c r="M9" s="56" t="s">
        <v>31</v>
      </c>
      <c r="N9" s="59"/>
      <c r="O9" s="16"/>
      <c r="P9" s="60">
        <v>1</v>
      </c>
      <c r="Q9" s="69"/>
      <c r="R9" s="69">
        <v>0.1</v>
      </c>
      <c r="S9" s="67">
        <f t="shared" si="0"/>
        <v>7</v>
      </c>
      <c r="T9" s="68"/>
    </row>
    <row r="10" ht="30" customHeight="1" spans="1:20">
      <c r="A10" s="22">
        <v>24</v>
      </c>
      <c r="B10" s="56" t="s">
        <v>23</v>
      </c>
      <c r="C10" s="56" t="s">
        <v>24</v>
      </c>
      <c r="D10" s="56" t="s">
        <v>46</v>
      </c>
      <c r="E10" s="56" t="s">
        <v>25</v>
      </c>
      <c r="F10" s="56" t="s">
        <v>47</v>
      </c>
      <c r="G10" s="9" t="s">
        <v>27</v>
      </c>
      <c r="H10" s="56" t="s">
        <v>38</v>
      </c>
      <c r="I10" s="56">
        <v>0.2</v>
      </c>
      <c r="J10" s="56">
        <v>3.5</v>
      </c>
      <c r="K10" s="56">
        <v>7</v>
      </c>
      <c r="L10" s="56" t="s">
        <v>30</v>
      </c>
      <c r="M10" s="56" t="s">
        <v>31</v>
      </c>
      <c r="N10" s="59"/>
      <c r="O10" s="16"/>
      <c r="P10" s="61" t="s">
        <v>48</v>
      </c>
      <c r="Q10" s="69"/>
      <c r="R10" s="69"/>
      <c r="S10" s="70"/>
      <c r="T10" s="68"/>
    </row>
    <row r="11" ht="30" customHeight="1" spans="1:20">
      <c r="A11" s="22">
        <v>25</v>
      </c>
      <c r="B11" s="56" t="s">
        <v>23</v>
      </c>
      <c r="C11" s="56" t="s">
        <v>24</v>
      </c>
      <c r="D11" s="56" t="s">
        <v>49</v>
      </c>
      <c r="E11" s="56" t="s">
        <v>25</v>
      </c>
      <c r="F11" s="56" t="s">
        <v>50</v>
      </c>
      <c r="G11" s="9" t="s">
        <v>27</v>
      </c>
      <c r="H11" s="56" t="s">
        <v>38</v>
      </c>
      <c r="I11" s="56">
        <v>0.3</v>
      </c>
      <c r="J11" s="56">
        <v>3.5</v>
      </c>
      <c r="K11" s="56">
        <v>10.5</v>
      </c>
      <c r="L11" s="56" t="s">
        <v>30</v>
      </c>
      <c r="M11" s="56" t="s">
        <v>31</v>
      </c>
      <c r="N11" s="59"/>
      <c r="O11" s="16"/>
      <c r="Q11" s="60">
        <v>1</v>
      </c>
      <c r="R11" s="69">
        <v>0.3</v>
      </c>
      <c r="S11" s="67">
        <f>K11*50%</f>
        <v>5.25</v>
      </c>
      <c r="T11" s="68"/>
    </row>
    <row r="12" ht="30" customHeight="1" spans="1:20">
      <c r="A12" s="22">
        <v>26</v>
      </c>
      <c r="B12" s="56" t="s">
        <v>23</v>
      </c>
      <c r="C12" s="56" t="s">
        <v>24</v>
      </c>
      <c r="D12" s="56" t="s">
        <v>51</v>
      </c>
      <c r="E12" s="56" t="s">
        <v>25</v>
      </c>
      <c r="F12" s="56" t="s">
        <v>52</v>
      </c>
      <c r="G12" s="9" t="s">
        <v>27</v>
      </c>
      <c r="H12" s="56" t="s">
        <v>38</v>
      </c>
      <c r="I12" s="56">
        <v>0.2</v>
      </c>
      <c r="J12" s="56">
        <v>3.5</v>
      </c>
      <c r="K12" s="56">
        <v>7</v>
      </c>
      <c r="L12" s="56" t="s">
        <v>30</v>
      </c>
      <c r="M12" s="56" t="s">
        <v>31</v>
      </c>
      <c r="N12" s="59"/>
      <c r="O12" s="16"/>
      <c r="P12" s="61" t="s">
        <v>53</v>
      </c>
      <c r="Q12" s="69"/>
      <c r="R12" s="69"/>
      <c r="S12" s="70"/>
      <c r="T12" s="67" t="s">
        <v>48</v>
      </c>
    </row>
    <row r="13" ht="30" customHeight="1" spans="1:20">
      <c r="A13" s="22">
        <v>27</v>
      </c>
      <c r="B13" s="56" t="s">
        <v>23</v>
      </c>
      <c r="C13" s="56" t="s">
        <v>24</v>
      </c>
      <c r="D13" s="56" t="s">
        <v>54</v>
      </c>
      <c r="E13" s="56" t="s">
        <v>25</v>
      </c>
      <c r="F13" s="56" t="s">
        <v>55</v>
      </c>
      <c r="G13" s="9" t="s">
        <v>27</v>
      </c>
      <c r="H13" s="56" t="s">
        <v>38</v>
      </c>
      <c r="I13" s="56">
        <v>0.2</v>
      </c>
      <c r="J13" s="56">
        <v>3.5</v>
      </c>
      <c r="K13" s="56">
        <v>7</v>
      </c>
      <c r="L13" s="56" t="s">
        <v>30</v>
      </c>
      <c r="M13" s="56" t="s">
        <v>31</v>
      </c>
      <c r="N13" s="59"/>
      <c r="O13" s="16"/>
      <c r="P13" s="61" t="s">
        <v>48</v>
      </c>
      <c r="Q13" s="71"/>
      <c r="R13" s="71"/>
      <c r="S13" s="72"/>
      <c r="T13" s="68"/>
    </row>
    <row r="14" ht="30" customHeight="1" spans="1:20">
      <c r="A14" s="22">
        <v>28</v>
      </c>
      <c r="B14" s="56" t="s">
        <v>23</v>
      </c>
      <c r="C14" s="56" t="s">
        <v>56</v>
      </c>
      <c r="D14" s="56" t="s">
        <v>57</v>
      </c>
      <c r="E14" s="56" t="s">
        <v>25</v>
      </c>
      <c r="F14" s="56" t="s">
        <v>58</v>
      </c>
      <c r="G14" s="9" t="s">
        <v>27</v>
      </c>
      <c r="H14" s="56" t="s">
        <v>38</v>
      </c>
      <c r="I14" s="56">
        <v>1</v>
      </c>
      <c r="J14" s="56">
        <v>3.5</v>
      </c>
      <c r="K14" s="56">
        <v>35</v>
      </c>
      <c r="L14" s="56" t="s">
        <v>30</v>
      </c>
      <c r="M14" s="56" t="s">
        <v>31</v>
      </c>
      <c r="N14" s="59"/>
      <c r="O14" s="16"/>
      <c r="P14" s="61" t="s">
        <v>48</v>
      </c>
      <c r="Q14" s="71"/>
      <c r="R14" s="71"/>
      <c r="S14" s="72"/>
      <c r="T14" s="68"/>
    </row>
    <row r="15" ht="30" customHeight="1" spans="1:20">
      <c r="A15" s="22">
        <v>29</v>
      </c>
      <c r="B15" s="56" t="s">
        <v>23</v>
      </c>
      <c r="C15" s="56" t="s">
        <v>56</v>
      </c>
      <c r="D15" s="56" t="s">
        <v>59</v>
      </c>
      <c r="E15" s="56" t="s">
        <v>25</v>
      </c>
      <c r="F15" s="56" t="s">
        <v>60</v>
      </c>
      <c r="G15" s="9" t="s">
        <v>27</v>
      </c>
      <c r="H15" s="56" t="s">
        <v>38</v>
      </c>
      <c r="I15" s="56">
        <v>0.2</v>
      </c>
      <c r="J15" s="56">
        <v>3.5</v>
      </c>
      <c r="K15" s="56">
        <v>7</v>
      </c>
      <c r="L15" s="56" t="s">
        <v>30</v>
      </c>
      <c r="M15" s="56" t="s">
        <v>31</v>
      </c>
      <c r="N15" s="59"/>
      <c r="O15" s="16"/>
      <c r="Q15" s="60">
        <v>1</v>
      </c>
      <c r="R15" s="69">
        <v>0.2</v>
      </c>
      <c r="S15" s="67">
        <f>K15*50%</f>
        <v>3.5</v>
      </c>
      <c r="T15" s="68"/>
    </row>
    <row r="16" ht="30" customHeight="1" spans="1:20">
      <c r="A16" s="22">
        <v>30</v>
      </c>
      <c r="B16" s="56" t="s">
        <v>23</v>
      </c>
      <c r="C16" s="56" t="s">
        <v>56</v>
      </c>
      <c r="D16" s="56" t="s">
        <v>61</v>
      </c>
      <c r="E16" s="56" t="s">
        <v>25</v>
      </c>
      <c r="F16" s="56" t="s">
        <v>62</v>
      </c>
      <c r="G16" s="9" t="s">
        <v>27</v>
      </c>
      <c r="H16" s="56" t="s">
        <v>38</v>
      </c>
      <c r="I16" s="56">
        <v>0.4</v>
      </c>
      <c r="J16" s="56">
        <v>3.5</v>
      </c>
      <c r="K16" s="56">
        <v>14</v>
      </c>
      <c r="L16" s="56" t="s">
        <v>30</v>
      </c>
      <c r="M16" s="56" t="s">
        <v>31</v>
      </c>
      <c r="N16" s="59"/>
      <c r="O16" s="16"/>
      <c r="P16" s="60">
        <v>1</v>
      </c>
      <c r="Q16" s="69"/>
      <c r="R16" s="69" t="s">
        <v>63</v>
      </c>
      <c r="S16" s="67">
        <f>K16*50%</f>
        <v>7</v>
      </c>
      <c r="T16" s="68"/>
    </row>
    <row r="17" ht="30" customHeight="1" spans="1:20">
      <c r="A17" s="22">
        <v>31</v>
      </c>
      <c r="B17" s="56" t="s">
        <v>23</v>
      </c>
      <c r="C17" s="56" t="s">
        <v>56</v>
      </c>
      <c r="D17" s="56" t="s">
        <v>64</v>
      </c>
      <c r="E17" s="56" t="s">
        <v>25</v>
      </c>
      <c r="F17" s="56" t="s">
        <v>65</v>
      </c>
      <c r="G17" s="9" t="s">
        <v>27</v>
      </c>
      <c r="H17" s="56" t="s">
        <v>38</v>
      </c>
      <c r="I17" s="56">
        <v>1.3</v>
      </c>
      <c r="J17" s="56">
        <v>3.5</v>
      </c>
      <c r="K17" s="56">
        <v>45.5</v>
      </c>
      <c r="L17" s="56" t="s">
        <v>30</v>
      </c>
      <c r="M17" s="56" t="s">
        <v>31</v>
      </c>
      <c r="N17" s="59"/>
      <c r="O17" s="16"/>
      <c r="P17" s="61" t="s">
        <v>48</v>
      </c>
      <c r="Q17" s="69"/>
      <c r="R17" s="69"/>
      <c r="S17" s="70"/>
      <c r="T17" s="68"/>
    </row>
    <row r="18" ht="30" customHeight="1" spans="1:20">
      <c r="A18" s="22">
        <v>32</v>
      </c>
      <c r="B18" s="56" t="s">
        <v>23</v>
      </c>
      <c r="C18" s="56" t="s">
        <v>56</v>
      </c>
      <c r="D18" s="56" t="s">
        <v>66</v>
      </c>
      <c r="E18" s="56" t="s">
        <v>25</v>
      </c>
      <c r="F18" s="56" t="s">
        <v>67</v>
      </c>
      <c r="G18" s="9" t="s">
        <v>27</v>
      </c>
      <c r="H18" s="56" t="s">
        <v>38</v>
      </c>
      <c r="I18" s="56">
        <v>1</v>
      </c>
      <c r="J18" s="56">
        <v>3.5</v>
      </c>
      <c r="K18" s="56">
        <v>35</v>
      </c>
      <c r="L18" s="56" t="s">
        <v>30</v>
      </c>
      <c r="M18" s="56" t="s">
        <v>31</v>
      </c>
      <c r="N18" s="59"/>
      <c r="O18" s="16"/>
      <c r="P18" s="60">
        <v>1</v>
      </c>
      <c r="Q18" s="69"/>
      <c r="R18" s="69" t="s">
        <v>63</v>
      </c>
      <c r="S18" s="67">
        <f t="shared" ref="S18:S22" si="1">K18*50%</f>
        <v>17.5</v>
      </c>
      <c r="T18" s="68"/>
    </row>
    <row r="19" ht="30" customHeight="1" spans="1:20">
      <c r="A19" s="22">
        <v>33</v>
      </c>
      <c r="B19" s="56" t="s">
        <v>23</v>
      </c>
      <c r="C19" s="56" t="s">
        <v>56</v>
      </c>
      <c r="D19" s="56" t="s">
        <v>68</v>
      </c>
      <c r="E19" s="56" t="s">
        <v>25</v>
      </c>
      <c r="F19" s="56" t="s">
        <v>69</v>
      </c>
      <c r="G19" s="9" t="s">
        <v>27</v>
      </c>
      <c r="H19" s="56" t="s">
        <v>38</v>
      </c>
      <c r="I19" s="56">
        <v>0.1</v>
      </c>
      <c r="J19" s="56">
        <v>3.5</v>
      </c>
      <c r="K19" s="56">
        <v>3.5</v>
      </c>
      <c r="L19" s="56" t="s">
        <v>30</v>
      </c>
      <c r="M19" s="56" t="s">
        <v>31</v>
      </c>
      <c r="N19" s="59"/>
      <c r="O19" s="16"/>
      <c r="P19" s="60">
        <v>1</v>
      </c>
      <c r="Q19" s="69"/>
      <c r="R19" s="69">
        <v>0.05</v>
      </c>
      <c r="S19" s="67">
        <f t="shared" si="1"/>
        <v>1.75</v>
      </c>
      <c r="T19" s="68"/>
    </row>
    <row r="20" ht="30" customHeight="1" spans="1:20">
      <c r="A20" s="22">
        <v>34</v>
      </c>
      <c r="B20" s="56" t="s">
        <v>23</v>
      </c>
      <c r="C20" s="56" t="s">
        <v>56</v>
      </c>
      <c r="D20" s="56" t="s">
        <v>70</v>
      </c>
      <c r="E20" s="56" t="s">
        <v>25</v>
      </c>
      <c r="F20" s="57" t="s">
        <v>71</v>
      </c>
      <c r="G20" s="9" t="s">
        <v>27</v>
      </c>
      <c r="H20" s="56" t="s">
        <v>38</v>
      </c>
      <c r="I20" s="56">
        <v>0.2</v>
      </c>
      <c r="J20" s="56">
        <v>3.5</v>
      </c>
      <c r="K20" s="56">
        <v>7</v>
      </c>
      <c r="L20" s="56" t="s">
        <v>30</v>
      </c>
      <c r="M20" s="56" t="s">
        <v>31</v>
      </c>
      <c r="N20" s="59"/>
      <c r="O20" s="16"/>
      <c r="P20" s="60">
        <v>1</v>
      </c>
      <c r="Q20" s="69"/>
      <c r="R20" s="69" t="s">
        <v>63</v>
      </c>
      <c r="S20" s="67">
        <f t="shared" si="1"/>
        <v>3.5</v>
      </c>
      <c r="T20" s="68"/>
    </row>
    <row r="21" ht="30" customHeight="1" spans="1:20">
      <c r="A21" s="22">
        <v>35</v>
      </c>
      <c r="B21" s="56" t="s">
        <v>23</v>
      </c>
      <c r="C21" s="56" t="s">
        <v>72</v>
      </c>
      <c r="D21" s="56" t="s">
        <v>73</v>
      </c>
      <c r="E21" s="56" t="s">
        <v>25</v>
      </c>
      <c r="F21" s="56" t="s">
        <v>74</v>
      </c>
      <c r="G21" s="9" t="s">
        <v>27</v>
      </c>
      <c r="H21" s="56" t="s">
        <v>38</v>
      </c>
      <c r="I21" s="56">
        <v>0.3</v>
      </c>
      <c r="J21" s="56">
        <v>3.5</v>
      </c>
      <c r="K21" s="56">
        <v>10.5</v>
      </c>
      <c r="L21" s="56" t="s">
        <v>30</v>
      </c>
      <c r="M21" s="56" t="s">
        <v>31</v>
      </c>
      <c r="N21" s="59"/>
      <c r="O21" s="16"/>
      <c r="P21" s="60">
        <v>1</v>
      </c>
      <c r="Q21" s="69"/>
      <c r="R21" s="69">
        <v>0.1</v>
      </c>
      <c r="S21" s="67">
        <f t="shared" si="1"/>
        <v>5.25</v>
      </c>
      <c r="T21" s="68"/>
    </row>
    <row r="22" ht="30" customHeight="1" spans="1:20">
      <c r="A22" s="22">
        <v>36</v>
      </c>
      <c r="B22" s="56" t="s">
        <v>23</v>
      </c>
      <c r="C22" s="56" t="s">
        <v>72</v>
      </c>
      <c r="D22" s="56" t="s">
        <v>75</v>
      </c>
      <c r="E22" s="56" t="s">
        <v>25</v>
      </c>
      <c r="F22" s="56" t="s">
        <v>76</v>
      </c>
      <c r="G22" s="9" t="s">
        <v>27</v>
      </c>
      <c r="H22" s="56" t="s">
        <v>38</v>
      </c>
      <c r="I22" s="56">
        <v>0.2</v>
      </c>
      <c r="J22" s="56">
        <v>3.5</v>
      </c>
      <c r="K22" s="56">
        <v>7</v>
      </c>
      <c r="L22" s="56" t="s">
        <v>30</v>
      </c>
      <c r="M22" s="56" t="s">
        <v>31</v>
      </c>
      <c r="N22" s="59"/>
      <c r="O22" s="16"/>
      <c r="P22" s="60">
        <v>1</v>
      </c>
      <c r="Q22" s="69"/>
      <c r="R22" s="69">
        <v>0.1</v>
      </c>
      <c r="S22" s="67">
        <f t="shared" si="1"/>
        <v>3.5</v>
      </c>
      <c r="T22" s="68"/>
    </row>
    <row r="23" ht="30" customHeight="1" spans="1:20">
      <c r="A23" s="22">
        <v>37</v>
      </c>
      <c r="B23" s="56" t="s">
        <v>23</v>
      </c>
      <c r="C23" s="56" t="s">
        <v>72</v>
      </c>
      <c r="D23" s="22" t="s">
        <v>73</v>
      </c>
      <c r="E23" s="56" t="s">
        <v>25</v>
      </c>
      <c r="F23" s="22" t="s">
        <v>77</v>
      </c>
      <c r="G23" s="9" t="s">
        <v>27</v>
      </c>
      <c r="H23" s="56" t="s">
        <v>38</v>
      </c>
      <c r="I23" s="22">
        <v>0.1</v>
      </c>
      <c r="J23" s="22">
        <v>3.5</v>
      </c>
      <c r="K23" s="56">
        <v>3.5</v>
      </c>
      <c r="L23" s="56" t="s">
        <v>30</v>
      </c>
      <c r="M23" s="56" t="s">
        <v>31</v>
      </c>
      <c r="N23" s="59"/>
      <c r="O23" s="16"/>
      <c r="P23" s="61" t="s">
        <v>48</v>
      </c>
      <c r="Q23" s="69"/>
      <c r="R23" s="69"/>
      <c r="S23" s="70"/>
      <c r="T23" s="68"/>
    </row>
    <row r="24" ht="30" customHeight="1" spans="1:20">
      <c r="A24" s="22">
        <v>38</v>
      </c>
      <c r="B24" s="56" t="s">
        <v>23</v>
      </c>
      <c r="C24" s="56" t="s">
        <v>72</v>
      </c>
      <c r="D24" s="56" t="s">
        <v>78</v>
      </c>
      <c r="E24" s="56" t="s">
        <v>25</v>
      </c>
      <c r="F24" s="56" t="s">
        <v>79</v>
      </c>
      <c r="G24" s="9" t="s">
        <v>27</v>
      </c>
      <c r="H24" s="56" t="s">
        <v>38</v>
      </c>
      <c r="I24" s="56">
        <v>0.25</v>
      </c>
      <c r="J24" s="56">
        <v>3.5</v>
      </c>
      <c r="K24" s="56">
        <v>8.75</v>
      </c>
      <c r="L24" s="56" t="s">
        <v>30</v>
      </c>
      <c r="M24" s="56" t="s">
        <v>31</v>
      </c>
      <c r="N24" s="59"/>
      <c r="O24" s="16"/>
      <c r="P24" s="61" t="s">
        <v>48</v>
      </c>
      <c r="Q24" s="69"/>
      <c r="R24" s="69"/>
      <c r="S24" s="70"/>
      <c r="T24" s="68"/>
    </row>
  </sheetData>
  <mergeCells count="5">
    <mergeCell ref="A1:C1"/>
    <mergeCell ref="A2:T2"/>
    <mergeCell ref="N3:R3"/>
    <mergeCell ref="S3:S4"/>
    <mergeCell ref="T3:T4"/>
  </mergeCells>
  <pageMargins left="0.16875" right="0.16875" top="0.379166666666667" bottom="0.329166666666667" header="0.3" footer="0.279166666666667"/>
  <pageSetup paperSize="9" orientation="landscape"/>
  <headerFooter alignWithMargins="0"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workbookViewId="0">
      <selection activeCell="D15" sqref="D15"/>
    </sheetView>
  </sheetViews>
  <sheetFormatPr defaultColWidth="9" defaultRowHeight="14.25" outlineLevelRow="6"/>
  <cols>
    <col min="1" max="1" width="3.5" style="31" customWidth="1"/>
    <col min="2" max="2" width="6.5" style="32" customWidth="1"/>
    <col min="3" max="3" width="6" style="32" customWidth="1"/>
    <col min="4" max="4" width="12.5" style="32" customWidth="1"/>
    <col min="5" max="5" width="10" style="32" customWidth="1"/>
    <col min="6" max="6" width="12.5" style="32" customWidth="1"/>
    <col min="7" max="7" width="6.25" style="32" customWidth="1"/>
    <col min="8" max="8" width="10.25" style="32" customWidth="1"/>
    <col min="9" max="9" width="9.875" style="32" customWidth="1"/>
    <col min="10" max="10" width="6.625" style="32" customWidth="1"/>
    <col min="11" max="11" width="7.25" style="32" customWidth="1"/>
    <col min="12" max="16" width="5" style="32" customWidth="1"/>
    <col min="17" max="17" width="9.375" style="32" customWidth="1"/>
    <col min="18" max="18" width="6.5" style="32" customWidth="1"/>
    <col min="19" max="16384" width="9" style="32"/>
  </cols>
  <sheetData>
    <row r="1" ht="23.25" customHeight="1" spans="1:7">
      <c r="A1" s="33" t="s">
        <v>80</v>
      </c>
      <c r="B1" s="33"/>
      <c r="C1" s="33"/>
      <c r="D1" s="33"/>
      <c r="E1" s="33"/>
      <c r="F1" s="33"/>
      <c r="G1" s="33"/>
    </row>
    <row r="2" ht="43.5" customHeight="1" spans="1:17">
      <c r="A2" s="34" t="s">
        <v>81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ht="50.25" customHeight="1" spans="1:17">
      <c r="A3" s="35" t="s">
        <v>2</v>
      </c>
      <c r="B3" s="36" t="s">
        <v>3</v>
      </c>
      <c r="C3" s="36" t="s">
        <v>4</v>
      </c>
      <c r="D3" s="36" t="s">
        <v>7</v>
      </c>
      <c r="E3" s="36" t="s">
        <v>5</v>
      </c>
      <c r="F3" s="36" t="s">
        <v>82</v>
      </c>
      <c r="G3" s="36" t="s">
        <v>83</v>
      </c>
      <c r="H3" s="37" t="s">
        <v>12</v>
      </c>
      <c r="I3" s="37" t="s">
        <v>13</v>
      </c>
      <c r="J3" s="37" t="s">
        <v>14</v>
      </c>
      <c r="K3" s="42" t="s">
        <v>35</v>
      </c>
      <c r="L3" s="42" t="s">
        <v>15</v>
      </c>
      <c r="M3" s="42"/>
      <c r="N3" s="42"/>
      <c r="O3" s="42"/>
      <c r="P3" s="43"/>
      <c r="Q3" s="49" t="s">
        <v>16</v>
      </c>
    </row>
    <row r="4" s="30" customFormat="1" ht="48.95" customHeight="1" spans="1:17">
      <c r="A4" s="35" t="s">
        <v>17</v>
      </c>
      <c r="B4" s="35"/>
      <c r="C4" s="36"/>
      <c r="D4" s="36"/>
      <c r="E4" s="36"/>
      <c r="F4" s="36"/>
      <c r="G4" s="35">
        <f>SUM(G5:G7)</f>
        <v>108</v>
      </c>
      <c r="H4" s="38">
        <f>SUM(H5:H7)</f>
        <v>32.4</v>
      </c>
      <c r="I4" s="37"/>
      <c r="J4" s="37"/>
      <c r="K4" s="42"/>
      <c r="L4" s="9" t="s">
        <v>18</v>
      </c>
      <c r="M4" s="9" t="s">
        <v>19</v>
      </c>
      <c r="N4" s="9" t="s">
        <v>20</v>
      </c>
      <c r="O4" s="9" t="s">
        <v>21</v>
      </c>
      <c r="P4" s="44" t="s">
        <v>22</v>
      </c>
      <c r="Q4" s="50"/>
    </row>
    <row r="5" ht="30" customHeight="1" spans="1:17">
      <c r="A5" s="39">
        <v>17</v>
      </c>
      <c r="B5" s="40" t="s">
        <v>23</v>
      </c>
      <c r="C5" s="41" t="s">
        <v>24</v>
      </c>
      <c r="D5" s="41" t="s">
        <v>84</v>
      </c>
      <c r="E5" s="41" t="s">
        <v>85</v>
      </c>
      <c r="F5" s="41" t="s">
        <v>86</v>
      </c>
      <c r="G5" s="41">
        <v>45</v>
      </c>
      <c r="H5" s="41">
        <v>13.5</v>
      </c>
      <c r="I5" s="41" t="s">
        <v>30</v>
      </c>
      <c r="J5" s="41" t="s">
        <v>31</v>
      </c>
      <c r="K5" s="9" t="s">
        <v>87</v>
      </c>
      <c r="L5" s="45"/>
      <c r="M5" s="45"/>
      <c r="N5" s="45"/>
      <c r="O5" s="46">
        <v>1</v>
      </c>
      <c r="P5" s="47"/>
      <c r="Q5" s="45">
        <f>H5*50%</f>
        <v>6.75</v>
      </c>
    </row>
    <row r="6" ht="30" customHeight="1" spans="1:17">
      <c r="A6" s="39">
        <v>18</v>
      </c>
      <c r="B6" s="40" t="s">
        <v>23</v>
      </c>
      <c r="C6" s="41" t="s">
        <v>24</v>
      </c>
      <c r="D6" s="41" t="s">
        <v>88</v>
      </c>
      <c r="E6" s="41" t="s">
        <v>89</v>
      </c>
      <c r="F6" s="41" t="s">
        <v>90</v>
      </c>
      <c r="G6" s="41">
        <v>28</v>
      </c>
      <c r="H6" s="41">
        <v>8.4</v>
      </c>
      <c r="I6" s="41" t="s">
        <v>30</v>
      </c>
      <c r="J6" s="41" t="s">
        <v>31</v>
      </c>
      <c r="K6" s="9" t="s">
        <v>87</v>
      </c>
      <c r="L6" s="45"/>
      <c r="M6" s="45"/>
      <c r="N6" s="45"/>
      <c r="O6" s="46">
        <v>1</v>
      </c>
      <c r="P6" s="47"/>
      <c r="Q6" s="45">
        <f>H6*50%</f>
        <v>4.2</v>
      </c>
    </row>
    <row r="7" ht="30" customHeight="1" spans="1:17">
      <c r="A7" s="39">
        <v>19</v>
      </c>
      <c r="B7" s="40" t="s">
        <v>23</v>
      </c>
      <c r="C7" s="41" t="s">
        <v>56</v>
      </c>
      <c r="D7" s="9" t="s">
        <v>91</v>
      </c>
      <c r="E7" s="9" t="s">
        <v>92</v>
      </c>
      <c r="F7" s="41" t="s">
        <v>93</v>
      </c>
      <c r="G7" s="9">
        <v>35</v>
      </c>
      <c r="H7" s="41">
        <v>10.5</v>
      </c>
      <c r="I7" s="41" t="s">
        <v>30</v>
      </c>
      <c r="J7" s="41" t="s">
        <v>31</v>
      </c>
      <c r="K7" s="9" t="s">
        <v>87</v>
      </c>
      <c r="L7" s="45"/>
      <c r="M7" s="45"/>
      <c r="N7" s="45"/>
      <c r="O7" s="45"/>
      <c r="P7" s="48" t="s">
        <v>48</v>
      </c>
      <c r="Q7" s="45"/>
    </row>
  </sheetData>
  <mergeCells count="5">
    <mergeCell ref="A1:D1"/>
    <mergeCell ref="A2:Q2"/>
    <mergeCell ref="L3:P3"/>
    <mergeCell ref="A4:B4"/>
    <mergeCell ref="Q3:Q4"/>
  </mergeCells>
  <pageMargins left="0.188888888888889" right="0.16875" top="0.51875" bottom="0.51875" header="0.511805555555556" footer="0.511805555555556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selection activeCell="B8" sqref="B8"/>
    </sheetView>
  </sheetViews>
  <sheetFormatPr defaultColWidth="9" defaultRowHeight="14.25" outlineLevelRow="5"/>
  <cols>
    <col min="1" max="1" width="4.5" customWidth="1"/>
    <col min="2" max="2" width="6.25" customWidth="1"/>
    <col min="3" max="3" width="6.375" customWidth="1"/>
    <col min="4" max="4" width="15.125" customWidth="1"/>
    <col min="5" max="5" width="8.25" customWidth="1"/>
    <col min="6" max="6" width="7.5" customWidth="1"/>
    <col min="7" max="7" width="5.625" customWidth="1"/>
    <col min="8" max="8" width="11.25" customWidth="1"/>
    <col min="9" max="9" width="9" customWidth="1"/>
    <col min="10" max="10" width="7.75" customWidth="1"/>
    <col min="11" max="15" width="6" style="2" customWidth="1"/>
    <col min="16" max="16" width="9.5" style="2" customWidth="1"/>
    <col min="17" max="17" width="8.875" customWidth="1"/>
    <col min="257" max="257" width="4.5" customWidth="1"/>
    <col min="258" max="258" width="6.25" customWidth="1"/>
    <col min="259" max="259" width="6.375" customWidth="1"/>
    <col min="260" max="260" width="15.125" customWidth="1"/>
    <col min="261" max="261" width="8.25" customWidth="1"/>
    <col min="262" max="262" width="7.5" customWidth="1"/>
    <col min="263" max="263" width="5.625" customWidth="1"/>
    <col min="264" max="264" width="11.25" customWidth="1"/>
    <col min="265" max="265" width="9" customWidth="1"/>
    <col min="266" max="266" width="7.75" customWidth="1"/>
    <col min="267" max="271" width="6" customWidth="1"/>
    <col min="272" max="272" width="9.5" customWidth="1"/>
    <col min="273" max="273" width="8.875" customWidth="1"/>
    <col min="513" max="513" width="4.5" customWidth="1"/>
    <col min="514" max="514" width="6.25" customWidth="1"/>
    <col min="515" max="515" width="6.375" customWidth="1"/>
    <col min="516" max="516" width="15.125" customWidth="1"/>
    <col min="517" max="517" width="8.25" customWidth="1"/>
    <col min="518" max="518" width="7.5" customWidth="1"/>
    <col min="519" max="519" width="5.625" customWidth="1"/>
    <col min="520" max="520" width="11.25" customWidth="1"/>
    <col min="521" max="521" width="9" customWidth="1"/>
    <col min="522" max="522" width="7.75" customWidth="1"/>
    <col min="523" max="527" width="6" customWidth="1"/>
    <col min="528" max="528" width="9.5" customWidth="1"/>
    <col min="529" max="529" width="8.875" customWidth="1"/>
    <col min="769" max="769" width="4.5" customWidth="1"/>
    <col min="770" max="770" width="6.25" customWidth="1"/>
    <col min="771" max="771" width="6.375" customWidth="1"/>
    <col min="772" max="772" width="15.125" customWidth="1"/>
    <col min="773" max="773" width="8.25" customWidth="1"/>
    <col min="774" max="774" width="7.5" customWidth="1"/>
    <col min="775" max="775" width="5.625" customWidth="1"/>
    <col min="776" max="776" width="11.25" customWidth="1"/>
    <col min="777" max="777" width="9" customWidth="1"/>
    <col min="778" max="778" width="7.75" customWidth="1"/>
    <col min="779" max="783" width="6" customWidth="1"/>
    <col min="784" max="784" width="9.5" customWidth="1"/>
    <col min="785" max="785" width="8.875" customWidth="1"/>
    <col min="1025" max="1025" width="4.5" customWidth="1"/>
    <col min="1026" max="1026" width="6.25" customWidth="1"/>
    <col min="1027" max="1027" width="6.375" customWidth="1"/>
    <col min="1028" max="1028" width="15.125" customWidth="1"/>
    <col min="1029" max="1029" width="8.25" customWidth="1"/>
    <col min="1030" max="1030" width="7.5" customWidth="1"/>
    <col min="1031" max="1031" width="5.625" customWidth="1"/>
    <col min="1032" max="1032" width="11.25" customWidth="1"/>
    <col min="1033" max="1033" width="9" customWidth="1"/>
    <col min="1034" max="1034" width="7.75" customWidth="1"/>
    <col min="1035" max="1039" width="6" customWidth="1"/>
    <col min="1040" max="1040" width="9.5" customWidth="1"/>
    <col min="1041" max="1041" width="8.875" customWidth="1"/>
    <col min="1281" max="1281" width="4.5" customWidth="1"/>
    <col min="1282" max="1282" width="6.25" customWidth="1"/>
    <col min="1283" max="1283" width="6.375" customWidth="1"/>
    <col min="1284" max="1284" width="15.125" customWidth="1"/>
    <col min="1285" max="1285" width="8.25" customWidth="1"/>
    <col min="1286" max="1286" width="7.5" customWidth="1"/>
    <col min="1287" max="1287" width="5.625" customWidth="1"/>
    <col min="1288" max="1288" width="11.25" customWidth="1"/>
    <col min="1289" max="1289" width="9" customWidth="1"/>
    <col min="1290" max="1290" width="7.75" customWidth="1"/>
    <col min="1291" max="1295" width="6" customWidth="1"/>
    <col min="1296" max="1296" width="9.5" customWidth="1"/>
    <col min="1297" max="1297" width="8.875" customWidth="1"/>
    <col min="1537" max="1537" width="4.5" customWidth="1"/>
    <col min="1538" max="1538" width="6.25" customWidth="1"/>
    <col min="1539" max="1539" width="6.375" customWidth="1"/>
    <col min="1540" max="1540" width="15.125" customWidth="1"/>
    <col min="1541" max="1541" width="8.25" customWidth="1"/>
    <col min="1542" max="1542" width="7.5" customWidth="1"/>
    <col min="1543" max="1543" width="5.625" customWidth="1"/>
    <col min="1544" max="1544" width="11.25" customWidth="1"/>
    <col min="1545" max="1545" width="9" customWidth="1"/>
    <col min="1546" max="1546" width="7.75" customWidth="1"/>
    <col min="1547" max="1551" width="6" customWidth="1"/>
    <col min="1552" max="1552" width="9.5" customWidth="1"/>
    <col min="1553" max="1553" width="8.875" customWidth="1"/>
    <col min="1793" max="1793" width="4.5" customWidth="1"/>
    <col min="1794" max="1794" width="6.25" customWidth="1"/>
    <col min="1795" max="1795" width="6.375" customWidth="1"/>
    <col min="1796" max="1796" width="15.125" customWidth="1"/>
    <col min="1797" max="1797" width="8.25" customWidth="1"/>
    <col min="1798" max="1798" width="7.5" customWidth="1"/>
    <col min="1799" max="1799" width="5.625" customWidth="1"/>
    <col min="1800" max="1800" width="11.25" customWidth="1"/>
    <col min="1801" max="1801" width="9" customWidth="1"/>
    <col min="1802" max="1802" width="7.75" customWidth="1"/>
    <col min="1803" max="1807" width="6" customWidth="1"/>
    <col min="1808" max="1808" width="9.5" customWidth="1"/>
    <col min="1809" max="1809" width="8.875" customWidth="1"/>
    <col min="2049" max="2049" width="4.5" customWidth="1"/>
    <col min="2050" max="2050" width="6.25" customWidth="1"/>
    <col min="2051" max="2051" width="6.375" customWidth="1"/>
    <col min="2052" max="2052" width="15.125" customWidth="1"/>
    <col min="2053" max="2053" width="8.25" customWidth="1"/>
    <col min="2054" max="2054" width="7.5" customWidth="1"/>
    <col min="2055" max="2055" width="5.625" customWidth="1"/>
    <col min="2056" max="2056" width="11.25" customWidth="1"/>
    <col min="2057" max="2057" width="9" customWidth="1"/>
    <col min="2058" max="2058" width="7.75" customWidth="1"/>
    <col min="2059" max="2063" width="6" customWidth="1"/>
    <col min="2064" max="2064" width="9.5" customWidth="1"/>
    <col min="2065" max="2065" width="8.875" customWidth="1"/>
    <col min="2305" max="2305" width="4.5" customWidth="1"/>
    <col min="2306" max="2306" width="6.25" customWidth="1"/>
    <col min="2307" max="2307" width="6.375" customWidth="1"/>
    <col min="2308" max="2308" width="15.125" customWidth="1"/>
    <col min="2309" max="2309" width="8.25" customWidth="1"/>
    <col min="2310" max="2310" width="7.5" customWidth="1"/>
    <col min="2311" max="2311" width="5.625" customWidth="1"/>
    <col min="2312" max="2312" width="11.25" customWidth="1"/>
    <col min="2313" max="2313" width="9" customWidth="1"/>
    <col min="2314" max="2314" width="7.75" customWidth="1"/>
    <col min="2315" max="2319" width="6" customWidth="1"/>
    <col min="2320" max="2320" width="9.5" customWidth="1"/>
    <col min="2321" max="2321" width="8.875" customWidth="1"/>
    <col min="2561" max="2561" width="4.5" customWidth="1"/>
    <col min="2562" max="2562" width="6.25" customWidth="1"/>
    <col min="2563" max="2563" width="6.375" customWidth="1"/>
    <col min="2564" max="2564" width="15.125" customWidth="1"/>
    <col min="2565" max="2565" width="8.25" customWidth="1"/>
    <col min="2566" max="2566" width="7.5" customWidth="1"/>
    <col min="2567" max="2567" width="5.625" customWidth="1"/>
    <col min="2568" max="2568" width="11.25" customWidth="1"/>
    <col min="2569" max="2569" width="9" customWidth="1"/>
    <col min="2570" max="2570" width="7.75" customWidth="1"/>
    <col min="2571" max="2575" width="6" customWidth="1"/>
    <col min="2576" max="2576" width="9.5" customWidth="1"/>
    <col min="2577" max="2577" width="8.875" customWidth="1"/>
    <col min="2817" max="2817" width="4.5" customWidth="1"/>
    <col min="2818" max="2818" width="6.25" customWidth="1"/>
    <col min="2819" max="2819" width="6.375" customWidth="1"/>
    <col min="2820" max="2820" width="15.125" customWidth="1"/>
    <col min="2821" max="2821" width="8.25" customWidth="1"/>
    <col min="2822" max="2822" width="7.5" customWidth="1"/>
    <col min="2823" max="2823" width="5.625" customWidth="1"/>
    <col min="2824" max="2824" width="11.25" customWidth="1"/>
    <col min="2825" max="2825" width="9" customWidth="1"/>
    <col min="2826" max="2826" width="7.75" customWidth="1"/>
    <col min="2827" max="2831" width="6" customWidth="1"/>
    <col min="2832" max="2832" width="9.5" customWidth="1"/>
    <col min="2833" max="2833" width="8.875" customWidth="1"/>
    <col min="3073" max="3073" width="4.5" customWidth="1"/>
    <col min="3074" max="3074" width="6.25" customWidth="1"/>
    <col min="3075" max="3075" width="6.375" customWidth="1"/>
    <col min="3076" max="3076" width="15.125" customWidth="1"/>
    <col min="3077" max="3077" width="8.25" customWidth="1"/>
    <col min="3078" max="3078" width="7.5" customWidth="1"/>
    <col min="3079" max="3079" width="5.625" customWidth="1"/>
    <col min="3080" max="3080" width="11.25" customWidth="1"/>
    <col min="3081" max="3081" width="9" customWidth="1"/>
    <col min="3082" max="3082" width="7.75" customWidth="1"/>
    <col min="3083" max="3087" width="6" customWidth="1"/>
    <col min="3088" max="3088" width="9.5" customWidth="1"/>
    <col min="3089" max="3089" width="8.875" customWidth="1"/>
    <col min="3329" max="3329" width="4.5" customWidth="1"/>
    <col min="3330" max="3330" width="6.25" customWidth="1"/>
    <col min="3331" max="3331" width="6.375" customWidth="1"/>
    <col min="3332" max="3332" width="15.125" customWidth="1"/>
    <col min="3333" max="3333" width="8.25" customWidth="1"/>
    <col min="3334" max="3334" width="7.5" customWidth="1"/>
    <col min="3335" max="3335" width="5.625" customWidth="1"/>
    <col min="3336" max="3336" width="11.25" customWidth="1"/>
    <col min="3337" max="3337" width="9" customWidth="1"/>
    <col min="3338" max="3338" width="7.75" customWidth="1"/>
    <col min="3339" max="3343" width="6" customWidth="1"/>
    <col min="3344" max="3344" width="9.5" customWidth="1"/>
    <col min="3345" max="3345" width="8.875" customWidth="1"/>
    <col min="3585" max="3585" width="4.5" customWidth="1"/>
    <col min="3586" max="3586" width="6.25" customWidth="1"/>
    <col min="3587" max="3587" width="6.375" customWidth="1"/>
    <col min="3588" max="3588" width="15.125" customWidth="1"/>
    <col min="3589" max="3589" width="8.25" customWidth="1"/>
    <col min="3590" max="3590" width="7.5" customWidth="1"/>
    <col min="3591" max="3591" width="5.625" customWidth="1"/>
    <col min="3592" max="3592" width="11.25" customWidth="1"/>
    <col min="3593" max="3593" width="9" customWidth="1"/>
    <col min="3594" max="3594" width="7.75" customWidth="1"/>
    <col min="3595" max="3599" width="6" customWidth="1"/>
    <col min="3600" max="3600" width="9.5" customWidth="1"/>
    <col min="3601" max="3601" width="8.875" customWidth="1"/>
    <col min="3841" max="3841" width="4.5" customWidth="1"/>
    <col min="3842" max="3842" width="6.25" customWidth="1"/>
    <col min="3843" max="3843" width="6.375" customWidth="1"/>
    <col min="3844" max="3844" width="15.125" customWidth="1"/>
    <col min="3845" max="3845" width="8.25" customWidth="1"/>
    <col min="3846" max="3846" width="7.5" customWidth="1"/>
    <col min="3847" max="3847" width="5.625" customWidth="1"/>
    <col min="3848" max="3848" width="11.25" customWidth="1"/>
    <col min="3849" max="3849" width="9" customWidth="1"/>
    <col min="3850" max="3850" width="7.75" customWidth="1"/>
    <col min="3851" max="3855" width="6" customWidth="1"/>
    <col min="3856" max="3856" width="9.5" customWidth="1"/>
    <col min="3857" max="3857" width="8.875" customWidth="1"/>
    <col min="4097" max="4097" width="4.5" customWidth="1"/>
    <col min="4098" max="4098" width="6.25" customWidth="1"/>
    <col min="4099" max="4099" width="6.375" customWidth="1"/>
    <col min="4100" max="4100" width="15.125" customWidth="1"/>
    <col min="4101" max="4101" width="8.25" customWidth="1"/>
    <col min="4102" max="4102" width="7.5" customWidth="1"/>
    <col min="4103" max="4103" width="5.625" customWidth="1"/>
    <col min="4104" max="4104" width="11.25" customWidth="1"/>
    <col min="4105" max="4105" width="9" customWidth="1"/>
    <col min="4106" max="4106" width="7.75" customWidth="1"/>
    <col min="4107" max="4111" width="6" customWidth="1"/>
    <col min="4112" max="4112" width="9.5" customWidth="1"/>
    <col min="4113" max="4113" width="8.875" customWidth="1"/>
    <col min="4353" max="4353" width="4.5" customWidth="1"/>
    <col min="4354" max="4354" width="6.25" customWidth="1"/>
    <col min="4355" max="4355" width="6.375" customWidth="1"/>
    <col min="4356" max="4356" width="15.125" customWidth="1"/>
    <col min="4357" max="4357" width="8.25" customWidth="1"/>
    <col min="4358" max="4358" width="7.5" customWidth="1"/>
    <col min="4359" max="4359" width="5.625" customWidth="1"/>
    <col min="4360" max="4360" width="11.25" customWidth="1"/>
    <col min="4361" max="4361" width="9" customWidth="1"/>
    <col min="4362" max="4362" width="7.75" customWidth="1"/>
    <col min="4363" max="4367" width="6" customWidth="1"/>
    <col min="4368" max="4368" width="9.5" customWidth="1"/>
    <col min="4369" max="4369" width="8.875" customWidth="1"/>
    <col min="4609" max="4609" width="4.5" customWidth="1"/>
    <col min="4610" max="4610" width="6.25" customWidth="1"/>
    <col min="4611" max="4611" width="6.375" customWidth="1"/>
    <col min="4612" max="4612" width="15.125" customWidth="1"/>
    <col min="4613" max="4613" width="8.25" customWidth="1"/>
    <col min="4614" max="4614" width="7.5" customWidth="1"/>
    <col min="4615" max="4615" width="5.625" customWidth="1"/>
    <col min="4616" max="4616" width="11.25" customWidth="1"/>
    <col min="4617" max="4617" width="9" customWidth="1"/>
    <col min="4618" max="4618" width="7.75" customWidth="1"/>
    <col min="4619" max="4623" width="6" customWidth="1"/>
    <col min="4624" max="4624" width="9.5" customWidth="1"/>
    <col min="4625" max="4625" width="8.875" customWidth="1"/>
    <col min="4865" max="4865" width="4.5" customWidth="1"/>
    <col min="4866" max="4866" width="6.25" customWidth="1"/>
    <col min="4867" max="4867" width="6.375" customWidth="1"/>
    <col min="4868" max="4868" width="15.125" customWidth="1"/>
    <col min="4869" max="4869" width="8.25" customWidth="1"/>
    <col min="4870" max="4870" width="7.5" customWidth="1"/>
    <col min="4871" max="4871" width="5.625" customWidth="1"/>
    <col min="4872" max="4872" width="11.25" customWidth="1"/>
    <col min="4873" max="4873" width="9" customWidth="1"/>
    <col min="4874" max="4874" width="7.75" customWidth="1"/>
    <col min="4875" max="4879" width="6" customWidth="1"/>
    <col min="4880" max="4880" width="9.5" customWidth="1"/>
    <col min="4881" max="4881" width="8.875" customWidth="1"/>
    <col min="5121" max="5121" width="4.5" customWidth="1"/>
    <col min="5122" max="5122" width="6.25" customWidth="1"/>
    <col min="5123" max="5123" width="6.375" customWidth="1"/>
    <col min="5124" max="5124" width="15.125" customWidth="1"/>
    <col min="5125" max="5125" width="8.25" customWidth="1"/>
    <col min="5126" max="5126" width="7.5" customWidth="1"/>
    <col min="5127" max="5127" width="5.625" customWidth="1"/>
    <col min="5128" max="5128" width="11.25" customWidth="1"/>
    <col min="5129" max="5129" width="9" customWidth="1"/>
    <col min="5130" max="5130" width="7.75" customWidth="1"/>
    <col min="5131" max="5135" width="6" customWidth="1"/>
    <col min="5136" max="5136" width="9.5" customWidth="1"/>
    <col min="5137" max="5137" width="8.875" customWidth="1"/>
    <col min="5377" max="5377" width="4.5" customWidth="1"/>
    <col min="5378" max="5378" width="6.25" customWidth="1"/>
    <col min="5379" max="5379" width="6.375" customWidth="1"/>
    <col min="5380" max="5380" width="15.125" customWidth="1"/>
    <col min="5381" max="5381" width="8.25" customWidth="1"/>
    <col min="5382" max="5382" width="7.5" customWidth="1"/>
    <col min="5383" max="5383" width="5.625" customWidth="1"/>
    <col min="5384" max="5384" width="11.25" customWidth="1"/>
    <col min="5385" max="5385" width="9" customWidth="1"/>
    <col min="5386" max="5386" width="7.75" customWidth="1"/>
    <col min="5387" max="5391" width="6" customWidth="1"/>
    <col min="5392" max="5392" width="9.5" customWidth="1"/>
    <col min="5393" max="5393" width="8.875" customWidth="1"/>
    <col min="5633" max="5633" width="4.5" customWidth="1"/>
    <col min="5634" max="5634" width="6.25" customWidth="1"/>
    <col min="5635" max="5635" width="6.375" customWidth="1"/>
    <col min="5636" max="5636" width="15.125" customWidth="1"/>
    <col min="5637" max="5637" width="8.25" customWidth="1"/>
    <col min="5638" max="5638" width="7.5" customWidth="1"/>
    <col min="5639" max="5639" width="5.625" customWidth="1"/>
    <col min="5640" max="5640" width="11.25" customWidth="1"/>
    <col min="5641" max="5641" width="9" customWidth="1"/>
    <col min="5642" max="5642" width="7.75" customWidth="1"/>
    <col min="5643" max="5647" width="6" customWidth="1"/>
    <col min="5648" max="5648" width="9.5" customWidth="1"/>
    <col min="5649" max="5649" width="8.875" customWidth="1"/>
    <col min="5889" max="5889" width="4.5" customWidth="1"/>
    <col min="5890" max="5890" width="6.25" customWidth="1"/>
    <col min="5891" max="5891" width="6.375" customWidth="1"/>
    <col min="5892" max="5892" width="15.125" customWidth="1"/>
    <col min="5893" max="5893" width="8.25" customWidth="1"/>
    <col min="5894" max="5894" width="7.5" customWidth="1"/>
    <col min="5895" max="5895" width="5.625" customWidth="1"/>
    <col min="5896" max="5896" width="11.25" customWidth="1"/>
    <col min="5897" max="5897" width="9" customWidth="1"/>
    <col min="5898" max="5898" width="7.75" customWidth="1"/>
    <col min="5899" max="5903" width="6" customWidth="1"/>
    <col min="5904" max="5904" width="9.5" customWidth="1"/>
    <col min="5905" max="5905" width="8.875" customWidth="1"/>
    <col min="6145" max="6145" width="4.5" customWidth="1"/>
    <col min="6146" max="6146" width="6.25" customWidth="1"/>
    <col min="6147" max="6147" width="6.375" customWidth="1"/>
    <col min="6148" max="6148" width="15.125" customWidth="1"/>
    <col min="6149" max="6149" width="8.25" customWidth="1"/>
    <col min="6150" max="6150" width="7.5" customWidth="1"/>
    <col min="6151" max="6151" width="5.625" customWidth="1"/>
    <col min="6152" max="6152" width="11.25" customWidth="1"/>
    <col min="6153" max="6153" width="9" customWidth="1"/>
    <col min="6154" max="6154" width="7.75" customWidth="1"/>
    <col min="6155" max="6159" width="6" customWidth="1"/>
    <col min="6160" max="6160" width="9.5" customWidth="1"/>
    <col min="6161" max="6161" width="8.875" customWidth="1"/>
    <col min="6401" max="6401" width="4.5" customWidth="1"/>
    <col min="6402" max="6402" width="6.25" customWidth="1"/>
    <col min="6403" max="6403" width="6.375" customWidth="1"/>
    <col min="6404" max="6404" width="15.125" customWidth="1"/>
    <col min="6405" max="6405" width="8.25" customWidth="1"/>
    <col min="6406" max="6406" width="7.5" customWidth="1"/>
    <col min="6407" max="6407" width="5.625" customWidth="1"/>
    <col min="6408" max="6408" width="11.25" customWidth="1"/>
    <col min="6409" max="6409" width="9" customWidth="1"/>
    <col min="6410" max="6410" width="7.75" customWidth="1"/>
    <col min="6411" max="6415" width="6" customWidth="1"/>
    <col min="6416" max="6416" width="9.5" customWidth="1"/>
    <col min="6417" max="6417" width="8.875" customWidth="1"/>
    <col min="6657" max="6657" width="4.5" customWidth="1"/>
    <col min="6658" max="6658" width="6.25" customWidth="1"/>
    <col min="6659" max="6659" width="6.375" customWidth="1"/>
    <col min="6660" max="6660" width="15.125" customWidth="1"/>
    <col min="6661" max="6661" width="8.25" customWidth="1"/>
    <col min="6662" max="6662" width="7.5" customWidth="1"/>
    <col min="6663" max="6663" width="5.625" customWidth="1"/>
    <col min="6664" max="6664" width="11.25" customWidth="1"/>
    <col min="6665" max="6665" width="9" customWidth="1"/>
    <col min="6666" max="6666" width="7.75" customWidth="1"/>
    <col min="6667" max="6671" width="6" customWidth="1"/>
    <col min="6672" max="6672" width="9.5" customWidth="1"/>
    <col min="6673" max="6673" width="8.875" customWidth="1"/>
    <col min="6913" max="6913" width="4.5" customWidth="1"/>
    <col min="6914" max="6914" width="6.25" customWidth="1"/>
    <col min="6915" max="6915" width="6.375" customWidth="1"/>
    <col min="6916" max="6916" width="15.125" customWidth="1"/>
    <col min="6917" max="6917" width="8.25" customWidth="1"/>
    <col min="6918" max="6918" width="7.5" customWidth="1"/>
    <col min="6919" max="6919" width="5.625" customWidth="1"/>
    <col min="6920" max="6920" width="11.25" customWidth="1"/>
    <col min="6921" max="6921" width="9" customWidth="1"/>
    <col min="6922" max="6922" width="7.75" customWidth="1"/>
    <col min="6923" max="6927" width="6" customWidth="1"/>
    <col min="6928" max="6928" width="9.5" customWidth="1"/>
    <col min="6929" max="6929" width="8.875" customWidth="1"/>
    <col min="7169" max="7169" width="4.5" customWidth="1"/>
    <col min="7170" max="7170" width="6.25" customWidth="1"/>
    <col min="7171" max="7171" width="6.375" customWidth="1"/>
    <col min="7172" max="7172" width="15.125" customWidth="1"/>
    <col min="7173" max="7173" width="8.25" customWidth="1"/>
    <col min="7174" max="7174" width="7.5" customWidth="1"/>
    <col min="7175" max="7175" width="5.625" customWidth="1"/>
    <col min="7176" max="7176" width="11.25" customWidth="1"/>
    <col min="7177" max="7177" width="9" customWidth="1"/>
    <col min="7178" max="7178" width="7.75" customWidth="1"/>
    <col min="7179" max="7183" width="6" customWidth="1"/>
    <col min="7184" max="7184" width="9.5" customWidth="1"/>
    <col min="7185" max="7185" width="8.875" customWidth="1"/>
    <col min="7425" max="7425" width="4.5" customWidth="1"/>
    <col min="7426" max="7426" width="6.25" customWidth="1"/>
    <col min="7427" max="7427" width="6.375" customWidth="1"/>
    <col min="7428" max="7428" width="15.125" customWidth="1"/>
    <col min="7429" max="7429" width="8.25" customWidth="1"/>
    <col min="7430" max="7430" width="7.5" customWidth="1"/>
    <col min="7431" max="7431" width="5.625" customWidth="1"/>
    <col min="7432" max="7432" width="11.25" customWidth="1"/>
    <col min="7433" max="7433" width="9" customWidth="1"/>
    <col min="7434" max="7434" width="7.75" customWidth="1"/>
    <col min="7435" max="7439" width="6" customWidth="1"/>
    <col min="7440" max="7440" width="9.5" customWidth="1"/>
    <col min="7441" max="7441" width="8.875" customWidth="1"/>
    <col min="7681" max="7681" width="4.5" customWidth="1"/>
    <col min="7682" max="7682" width="6.25" customWidth="1"/>
    <col min="7683" max="7683" width="6.375" customWidth="1"/>
    <col min="7684" max="7684" width="15.125" customWidth="1"/>
    <col min="7685" max="7685" width="8.25" customWidth="1"/>
    <col min="7686" max="7686" width="7.5" customWidth="1"/>
    <col min="7687" max="7687" width="5.625" customWidth="1"/>
    <col min="7688" max="7688" width="11.25" customWidth="1"/>
    <col min="7689" max="7689" width="9" customWidth="1"/>
    <col min="7690" max="7690" width="7.75" customWidth="1"/>
    <col min="7691" max="7695" width="6" customWidth="1"/>
    <col min="7696" max="7696" width="9.5" customWidth="1"/>
    <col min="7697" max="7697" width="8.875" customWidth="1"/>
    <col min="7937" max="7937" width="4.5" customWidth="1"/>
    <col min="7938" max="7938" width="6.25" customWidth="1"/>
    <col min="7939" max="7939" width="6.375" customWidth="1"/>
    <col min="7940" max="7940" width="15.125" customWidth="1"/>
    <col min="7941" max="7941" width="8.25" customWidth="1"/>
    <col min="7942" max="7942" width="7.5" customWidth="1"/>
    <col min="7943" max="7943" width="5.625" customWidth="1"/>
    <col min="7944" max="7944" width="11.25" customWidth="1"/>
    <col min="7945" max="7945" width="9" customWidth="1"/>
    <col min="7946" max="7946" width="7.75" customWidth="1"/>
    <col min="7947" max="7951" width="6" customWidth="1"/>
    <col min="7952" max="7952" width="9.5" customWidth="1"/>
    <col min="7953" max="7953" width="8.875" customWidth="1"/>
    <col min="8193" max="8193" width="4.5" customWidth="1"/>
    <col min="8194" max="8194" width="6.25" customWidth="1"/>
    <col min="8195" max="8195" width="6.375" customWidth="1"/>
    <col min="8196" max="8196" width="15.125" customWidth="1"/>
    <col min="8197" max="8197" width="8.25" customWidth="1"/>
    <col min="8198" max="8198" width="7.5" customWidth="1"/>
    <col min="8199" max="8199" width="5.625" customWidth="1"/>
    <col min="8200" max="8200" width="11.25" customWidth="1"/>
    <col min="8201" max="8201" width="9" customWidth="1"/>
    <col min="8202" max="8202" width="7.75" customWidth="1"/>
    <col min="8203" max="8207" width="6" customWidth="1"/>
    <col min="8208" max="8208" width="9.5" customWidth="1"/>
    <col min="8209" max="8209" width="8.875" customWidth="1"/>
    <col min="8449" max="8449" width="4.5" customWidth="1"/>
    <col min="8450" max="8450" width="6.25" customWidth="1"/>
    <col min="8451" max="8451" width="6.375" customWidth="1"/>
    <col min="8452" max="8452" width="15.125" customWidth="1"/>
    <col min="8453" max="8453" width="8.25" customWidth="1"/>
    <col min="8454" max="8454" width="7.5" customWidth="1"/>
    <col min="8455" max="8455" width="5.625" customWidth="1"/>
    <col min="8456" max="8456" width="11.25" customWidth="1"/>
    <col min="8457" max="8457" width="9" customWidth="1"/>
    <col min="8458" max="8458" width="7.75" customWidth="1"/>
    <col min="8459" max="8463" width="6" customWidth="1"/>
    <col min="8464" max="8464" width="9.5" customWidth="1"/>
    <col min="8465" max="8465" width="8.875" customWidth="1"/>
    <col min="8705" max="8705" width="4.5" customWidth="1"/>
    <col min="8706" max="8706" width="6.25" customWidth="1"/>
    <col min="8707" max="8707" width="6.375" customWidth="1"/>
    <col min="8708" max="8708" width="15.125" customWidth="1"/>
    <col min="8709" max="8709" width="8.25" customWidth="1"/>
    <col min="8710" max="8710" width="7.5" customWidth="1"/>
    <col min="8711" max="8711" width="5.625" customWidth="1"/>
    <col min="8712" max="8712" width="11.25" customWidth="1"/>
    <col min="8713" max="8713" width="9" customWidth="1"/>
    <col min="8714" max="8714" width="7.75" customWidth="1"/>
    <col min="8715" max="8719" width="6" customWidth="1"/>
    <col min="8720" max="8720" width="9.5" customWidth="1"/>
    <col min="8721" max="8721" width="8.875" customWidth="1"/>
    <col min="8961" max="8961" width="4.5" customWidth="1"/>
    <col min="8962" max="8962" width="6.25" customWidth="1"/>
    <col min="8963" max="8963" width="6.375" customWidth="1"/>
    <col min="8964" max="8964" width="15.125" customWidth="1"/>
    <col min="8965" max="8965" width="8.25" customWidth="1"/>
    <col min="8966" max="8966" width="7.5" customWidth="1"/>
    <col min="8967" max="8967" width="5.625" customWidth="1"/>
    <col min="8968" max="8968" width="11.25" customWidth="1"/>
    <col min="8969" max="8969" width="9" customWidth="1"/>
    <col min="8970" max="8970" width="7.75" customWidth="1"/>
    <col min="8971" max="8975" width="6" customWidth="1"/>
    <col min="8976" max="8976" width="9.5" customWidth="1"/>
    <col min="8977" max="8977" width="8.875" customWidth="1"/>
    <col min="9217" max="9217" width="4.5" customWidth="1"/>
    <col min="9218" max="9218" width="6.25" customWidth="1"/>
    <col min="9219" max="9219" width="6.375" customWidth="1"/>
    <col min="9220" max="9220" width="15.125" customWidth="1"/>
    <col min="9221" max="9221" width="8.25" customWidth="1"/>
    <col min="9222" max="9222" width="7.5" customWidth="1"/>
    <col min="9223" max="9223" width="5.625" customWidth="1"/>
    <col min="9224" max="9224" width="11.25" customWidth="1"/>
    <col min="9225" max="9225" width="9" customWidth="1"/>
    <col min="9226" max="9226" width="7.75" customWidth="1"/>
    <col min="9227" max="9231" width="6" customWidth="1"/>
    <col min="9232" max="9232" width="9.5" customWidth="1"/>
    <col min="9233" max="9233" width="8.875" customWidth="1"/>
    <col min="9473" max="9473" width="4.5" customWidth="1"/>
    <col min="9474" max="9474" width="6.25" customWidth="1"/>
    <col min="9475" max="9475" width="6.375" customWidth="1"/>
    <col min="9476" max="9476" width="15.125" customWidth="1"/>
    <col min="9477" max="9477" width="8.25" customWidth="1"/>
    <col min="9478" max="9478" width="7.5" customWidth="1"/>
    <col min="9479" max="9479" width="5.625" customWidth="1"/>
    <col min="9480" max="9480" width="11.25" customWidth="1"/>
    <col min="9481" max="9481" width="9" customWidth="1"/>
    <col min="9482" max="9482" width="7.75" customWidth="1"/>
    <col min="9483" max="9487" width="6" customWidth="1"/>
    <col min="9488" max="9488" width="9.5" customWidth="1"/>
    <col min="9489" max="9489" width="8.875" customWidth="1"/>
    <col min="9729" max="9729" width="4.5" customWidth="1"/>
    <col min="9730" max="9730" width="6.25" customWidth="1"/>
    <col min="9731" max="9731" width="6.375" customWidth="1"/>
    <col min="9732" max="9732" width="15.125" customWidth="1"/>
    <col min="9733" max="9733" width="8.25" customWidth="1"/>
    <col min="9734" max="9734" width="7.5" customWidth="1"/>
    <col min="9735" max="9735" width="5.625" customWidth="1"/>
    <col min="9736" max="9736" width="11.25" customWidth="1"/>
    <col min="9737" max="9737" width="9" customWidth="1"/>
    <col min="9738" max="9738" width="7.75" customWidth="1"/>
    <col min="9739" max="9743" width="6" customWidth="1"/>
    <col min="9744" max="9744" width="9.5" customWidth="1"/>
    <col min="9745" max="9745" width="8.875" customWidth="1"/>
    <col min="9985" max="9985" width="4.5" customWidth="1"/>
    <col min="9986" max="9986" width="6.25" customWidth="1"/>
    <col min="9987" max="9987" width="6.375" customWidth="1"/>
    <col min="9988" max="9988" width="15.125" customWidth="1"/>
    <col min="9989" max="9989" width="8.25" customWidth="1"/>
    <col min="9990" max="9990" width="7.5" customWidth="1"/>
    <col min="9991" max="9991" width="5.625" customWidth="1"/>
    <col min="9992" max="9992" width="11.25" customWidth="1"/>
    <col min="9993" max="9993" width="9" customWidth="1"/>
    <col min="9994" max="9994" width="7.75" customWidth="1"/>
    <col min="9995" max="9999" width="6" customWidth="1"/>
    <col min="10000" max="10000" width="9.5" customWidth="1"/>
    <col min="10001" max="10001" width="8.875" customWidth="1"/>
    <col min="10241" max="10241" width="4.5" customWidth="1"/>
    <col min="10242" max="10242" width="6.25" customWidth="1"/>
    <col min="10243" max="10243" width="6.375" customWidth="1"/>
    <col min="10244" max="10244" width="15.125" customWidth="1"/>
    <col min="10245" max="10245" width="8.25" customWidth="1"/>
    <col min="10246" max="10246" width="7.5" customWidth="1"/>
    <col min="10247" max="10247" width="5.625" customWidth="1"/>
    <col min="10248" max="10248" width="11.25" customWidth="1"/>
    <col min="10249" max="10249" width="9" customWidth="1"/>
    <col min="10250" max="10250" width="7.75" customWidth="1"/>
    <col min="10251" max="10255" width="6" customWidth="1"/>
    <col min="10256" max="10256" width="9.5" customWidth="1"/>
    <col min="10257" max="10257" width="8.875" customWidth="1"/>
    <col min="10497" max="10497" width="4.5" customWidth="1"/>
    <col min="10498" max="10498" width="6.25" customWidth="1"/>
    <col min="10499" max="10499" width="6.375" customWidth="1"/>
    <col min="10500" max="10500" width="15.125" customWidth="1"/>
    <col min="10501" max="10501" width="8.25" customWidth="1"/>
    <col min="10502" max="10502" width="7.5" customWidth="1"/>
    <col min="10503" max="10503" width="5.625" customWidth="1"/>
    <col min="10504" max="10504" width="11.25" customWidth="1"/>
    <col min="10505" max="10505" width="9" customWidth="1"/>
    <col min="10506" max="10506" width="7.75" customWidth="1"/>
    <col min="10507" max="10511" width="6" customWidth="1"/>
    <col min="10512" max="10512" width="9.5" customWidth="1"/>
    <col min="10513" max="10513" width="8.875" customWidth="1"/>
    <col min="10753" max="10753" width="4.5" customWidth="1"/>
    <col min="10754" max="10754" width="6.25" customWidth="1"/>
    <col min="10755" max="10755" width="6.375" customWidth="1"/>
    <col min="10756" max="10756" width="15.125" customWidth="1"/>
    <col min="10757" max="10757" width="8.25" customWidth="1"/>
    <col min="10758" max="10758" width="7.5" customWidth="1"/>
    <col min="10759" max="10759" width="5.625" customWidth="1"/>
    <col min="10760" max="10760" width="11.25" customWidth="1"/>
    <col min="10761" max="10761" width="9" customWidth="1"/>
    <col min="10762" max="10762" width="7.75" customWidth="1"/>
    <col min="10763" max="10767" width="6" customWidth="1"/>
    <col min="10768" max="10768" width="9.5" customWidth="1"/>
    <col min="10769" max="10769" width="8.875" customWidth="1"/>
    <col min="11009" max="11009" width="4.5" customWidth="1"/>
    <col min="11010" max="11010" width="6.25" customWidth="1"/>
    <col min="11011" max="11011" width="6.375" customWidth="1"/>
    <col min="11012" max="11012" width="15.125" customWidth="1"/>
    <col min="11013" max="11013" width="8.25" customWidth="1"/>
    <col min="11014" max="11014" width="7.5" customWidth="1"/>
    <col min="11015" max="11015" width="5.625" customWidth="1"/>
    <col min="11016" max="11016" width="11.25" customWidth="1"/>
    <col min="11017" max="11017" width="9" customWidth="1"/>
    <col min="11018" max="11018" width="7.75" customWidth="1"/>
    <col min="11019" max="11023" width="6" customWidth="1"/>
    <col min="11024" max="11024" width="9.5" customWidth="1"/>
    <col min="11025" max="11025" width="8.875" customWidth="1"/>
    <col min="11265" max="11265" width="4.5" customWidth="1"/>
    <col min="11266" max="11266" width="6.25" customWidth="1"/>
    <col min="11267" max="11267" width="6.375" customWidth="1"/>
    <col min="11268" max="11268" width="15.125" customWidth="1"/>
    <col min="11269" max="11269" width="8.25" customWidth="1"/>
    <col min="11270" max="11270" width="7.5" customWidth="1"/>
    <col min="11271" max="11271" width="5.625" customWidth="1"/>
    <col min="11272" max="11272" width="11.25" customWidth="1"/>
    <col min="11273" max="11273" width="9" customWidth="1"/>
    <col min="11274" max="11274" width="7.75" customWidth="1"/>
    <col min="11275" max="11279" width="6" customWidth="1"/>
    <col min="11280" max="11280" width="9.5" customWidth="1"/>
    <col min="11281" max="11281" width="8.875" customWidth="1"/>
    <col min="11521" max="11521" width="4.5" customWidth="1"/>
    <col min="11522" max="11522" width="6.25" customWidth="1"/>
    <col min="11523" max="11523" width="6.375" customWidth="1"/>
    <col min="11524" max="11524" width="15.125" customWidth="1"/>
    <col min="11525" max="11525" width="8.25" customWidth="1"/>
    <col min="11526" max="11526" width="7.5" customWidth="1"/>
    <col min="11527" max="11527" width="5.625" customWidth="1"/>
    <col min="11528" max="11528" width="11.25" customWidth="1"/>
    <col min="11529" max="11529" width="9" customWidth="1"/>
    <col min="11530" max="11530" width="7.75" customWidth="1"/>
    <col min="11531" max="11535" width="6" customWidth="1"/>
    <col min="11536" max="11536" width="9.5" customWidth="1"/>
    <col min="11537" max="11537" width="8.875" customWidth="1"/>
    <col min="11777" max="11777" width="4.5" customWidth="1"/>
    <col min="11778" max="11778" width="6.25" customWidth="1"/>
    <col min="11779" max="11779" width="6.375" customWidth="1"/>
    <col min="11780" max="11780" width="15.125" customWidth="1"/>
    <col min="11781" max="11781" width="8.25" customWidth="1"/>
    <col min="11782" max="11782" width="7.5" customWidth="1"/>
    <col min="11783" max="11783" width="5.625" customWidth="1"/>
    <col min="11784" max="11784" width="11.25" customWidth="1"/>
    <col min="11785" max="11785" width="9" customWidth="1"/>
    <col min="11786" max="11786" width="7.75" customWidth="1"/>
    <col min="11787" max="11791" width="6" customWidth="1"/>
    <col min="11792" max="11792" width="9.5" customWidth="1"/>
    <col min="11793" max="11793" width="8.875" customWidth="1"/>
    <col min="12033" max="12033" width="4.5" customWidth="1"/>
    <col min="12034" max="12034" width="6.25" customWidth="1"/>
    <col min="12035" max="12035" width="6.375" customWidth="1"/>
    <col min="12036" max="12036" width="15.125" customWidth="1"/>
    <col min="12037" max="12037" width="8.25" customWidth="1"/>
    <col min="12038" max="12038" width="7.5" customWidth="1"/>
    <col min="12039" max="12039" width="5.625" customWidth="1"/>
    <col min="12040" max="12040" width="11.25" customWidth="1"/>
    <col min="12041" max="12041" width="9" customWidth="1"/>
    <col min="12042" max="12042" width="7.75" customWidth="1"/>
    <col min="12043" max="12047" width="6" customWidth="1"/>
    <col min="12048" max="12048" width="9.5" customWidth="1"/>
    <col min="12049" max="12049" width="8.875" customWidth="1"/>
    <col min="12289" max="12289" width="4.5" customWidth="1"/>
    <col min="12290" max="12290" width="6.25" customWidth="1"/>
    <col min="12291" max="12291" width="6.375" customWidth="1"/>
    <col min="12292" max="12292" width="15.125" customWidth="1"/>
    <col min="12293" max="12293" width="8.25" customWidth="1"/>
    <col min="12294" max="12294" width="7.5" customWidth="1"/>
    <col min="12295" max="12295" width="5.625" customWidth="1"/>
    <col min="12296" max="12296" width="11.25" customWidth="1"/>
    <col min="12297" max="12297" width="9" customWidth="1"/>
    <col min="12298" max="12298" width="7.75" customWidth="1"/>
    <col min="12299" max="12303" width="6" customWidth="1"/>
    <col min="12304" max="12304" width="9.5" customWidth="1"/>
    <col min="12305" max="12305" width="8.875" customWidth="1"/>
    <col min="12545" max="12545" width="4.5" customWidth="1"/>
    <col min="12546" max="12546" width="6.25" customWidth="1"/>
    <col min="12547" max="12547" width="6.375" customWidth="1"/>
    <col min="12548" max="12548" width="15.125" customWidth="1"/>
    <col min="12549" max="12549" width="8.25" customWidth="1"/>
    <col min="12550" max="12550" width="7.5" customWidth="1"/>
    <col min="12551" max="12551" width="5.625" customWidth="1"/>
    <col min="12552" max="12552" width="11.25" customWidth="1"/>
    <col min="12553" max="12553" width="9" customWidth="1"/>
    <col min="12554" max="12554" width="7.75" customWidth="1"/>
    <col min="12555" max="12559" width="6" customWidth="1"/>
    <col min="12560" max="12560" width="9.5" customWidth="1"/>
    <col min="12561" max="12561" width="8.875" customWidth="1"/>
    <col min="12801" max="12801" width="4.5" customWidth="1"/>
    <col min="12802" max="12802" width="6.25" customWidth="1"/>
    <col min="12803" max="12803" width="6.375" customWidth="1"/>
    <col min="12804" max="12804" width="15.125" customWidth="1"/>
    <col min="12805" max="12805" width="8.25" customWidth="1"/>
    <col min="12806" max="12806" width="7.5" customWidth="1"/>
    <col min="12807" max="12807" width="5.625" customWidth="1"/>
    <col min="12808" max="12808" width="11.25" customWidth="1"/>
    <col min="12809" max="12809" width="9" customWidth="1"/>
    <col min="12810" max="12810" width="7.75" customWidth="1"/>
    <col min="12811" max="12815" width="6" customWidth="1"/>
    <col min="12816" max="12816" width="9.5" customWidth="1"/>
    <col min="12817" max="12817" width="8.875" customWidth="1"/>
    <col min="13057" max="13057" width="4.5" customWidth="1"/>
    <col min="13058" max="13058" width="6.25" customWidth="1"/>
    <col min="13059" max="13059" width="6.375" customWidth="1"/>
    <col min="13060" max="13060" width="15.125" customWidth="1"/>
    <col min="13061" max="13061" width="8.25" customWidth="1"/>
    <col min="13062" max="13062" width="7.5" customWidth="1"/>
    <col min="13063" max="13063" width="5.625" customWidth="1"/>
    <col min="13064" max="13064" width="11.25" customWidth="1"/>
    <col min="13065" max="13065" width="9" customWidth="1"/>
    <col min="13066" max="13066" width="7.75" customWidth="1"/>
    <col min="13067" max="13071" width="6" customWidth="1"/>
    <col min="13072" max="13072" width="9.5" customWidth="1"/>
    <col min="13073" max="13073" width="8.875" customWidth="1"/>
    <col min="13313" max="13313" width="4.5" customWidth="1"/>
    <col min="13314" max="13314" width="6.25" customWidth="1"/>
    <col min="13315" max="13315" width="6.375" customWidth="1"/>
    <col min="13316" max="13316" width="15.125" customWidth="1"/>
    <col min="13317" max="13317" width="8.25" customWidth="1"/>
    <col min="13318" max="13318" width="7.5" customWidth="1"/>
    <col min="13319" max="13319" width="5.625" customWidth="1"/>
    <col min="13320" max="13320" width="11.25" customWidth="1"/>
    <col min="13321" max="13321" width="9" customWidth="1"/>
    <col min="13322" max="13322" width="7.75" customWidth="1"/>
    <col min="13323" max="13327" width="6" customWidth="1"/>
    <col min="13328" max="13328" width="9.5" customWidth="1"/>
    <col min="13329" max="13329" width="8.875" customWidth="1"/>
    <col min="13569" max="13569" width="4.5" customWidth="1"/>
    <col min="13570" max="13570" width="6.25" customWidth="1"/>
    <col min="13571" max="13571" width="6.375" customWidth="1"/>
    <col min="13572" max="13572" width="15.125" customWidth="1"/>
    <col min="13573" max="13573" width="8.25" customWidth="1"/>
    <col min="13574" max="13574" width="7.5" customWidth="1"/>
    <col min="13575" max="13575" width="5.625" customWidth="1"/>
    <col min="13576" max="13576" width="11.25" customWidth="1"/>
    <col min="13577" max="13577" width="9" customWidth="1"/>
    <col min="13578" max="13578" width="7.75" customWidth="1"/>
    <col min="13579" max="13583" width="6" customWidth="1"/>
    <col min="13584" max="13584" width="9.5" customWidth="1"/>
    <col min="13585" max="13585" width="8.875" customWidth="1"/>
    <col min="13825" max="13825" width="4.5" customWidth="1"/>
    <col min="13826" max="13826" width="6.25" customWidth="1"/>
    <col min="13827" max="13827" width="6.375" customWidth="1"/>
    <col min="13828" max="13828" width="15.125" customWidth="1"/>
    <col min="13829" max="13829" width="8.25" customWidth="1"/>
    <col min="13830" max="13830" width="7.5" customWidth="1"/>
    <col min="13831" max="13831" width="5.625" customWidth="1"/>
    <col min="13832" max="13832" width="11.25" customWidth="1"/>
    <col min="13833" max="13833" width="9" customWidth="1"/>
    <col min="13834" max="13834" width="7.75" customWidth="1"/>
    <col min="13835" max="13839" width="6" customWidth="1"/>
    <col min="13840" max="13840" width="9.5" customWidth="1"/>
    <col min="13841" max="13841" width="8.875" customWidth="1"/>
    <col min="14081" max="14081" width="4.5" customWidth="1"/>
    <col min="14082" max="14082" width="6.25" customWidth="1"/>
    <col min="14083" max="14083" width="6.375" customWidth="1"/>
    <col min="14084" max="14084" width="15.125" customWidth="1"/>
    <col min="14085" max="14085" width="8.25" customWidth="1"/>
    <col min="14086" max="14086" width="7.5" customWidth="1"/>
    <col min="14087" max="14087" width="5.625" customWidth="1"/>
    <col min="14088" max="14088" width="11.25" customWidth="1"/>
    <col min="14089" max="14089" width="9" customWidth="1"/>
    <col min="14090" max="14090" width="7.75" customWidth="1"/>
    <col min="14091" max="14095" width="6" customWidth="1"/>
    <col min="14096" max="14096" width="9.5" customWidth="1"/>
    <col min="14097" max="14097" width="8.875" customWidth="1"/>
    <col min="14337" max="14337" width="4.5" customWidth="1"/>
    <col min="14338" max="14338" width="6.25" customWidth="1"/>
    <col min="14339" max="14339" width="6.375" customWidth="1"/>
    <col min="14340" max="14340" width="15.125" customWidth="1"/>
    <col min="14341" max="14341" width="8.25" customWidth="1"/>
    <col min="14342" max="14342" width="7.5" customWidth="1"/>
    <col min="14343" max="14343" width="5.625" customWidth="1"/>
    <col min="14344" max="14344" width="11.25" customWidth="1"/>
    <col min="14345" max="14345" width="9" customWidth="1"/>
    <col min="14346" max="14346" width="7.75" customWidth="1"/>
    <col min="14347" max="14351" width="6" customWidth="1"/>
    <col min="14352" max="14352" width="9.5" customWidth="1"/>
    <col min="14353" max="14353" width="8.875" customWidth="1"/>
    <col min="14593" max="14593" width="4.5" customWidth="1"/>
    <col min="14594" max="14594" width="6.25" customWidth="1"/>
    <col min="14595" max="14595" width="6.375" customWidth="1"/>
    <col min="14596" max="14596" width="15.125" customWidth="1"/>
    <col min="14597" max="14597" width="8.25" customWidth="1"/>
    <col min="14598" max="14598" width="7.5" customWidth="1"/>
    <col min="14599" max="14599" width="5.625" customWidth="1"/>
    <col min="14600" max="14600" width="11.25" customWidth="1"/>
    <col min="14601" max="14601" width="9" customWidth="1"/>
    <col min="14602" max="14602" width="7.75" customWidth="1"/>
    <col min="14603" max="14607" width="6" customWidth="1"/>
    <col min="14608" max="14608" width="9.5" customWidth="1"/>
    <col min="14609" max="14609" width="8.875" customWidth="1"/>
    <col min="14849" max="14849" width="4.5" customWidth="1"/>
    <col min="14850" max="14850" width="6.25" customWidth="1"/>
    <col min="14851" max="14851" width="6.375" customWidth="1"/>
    <col min="14852" max="14852" width="15.125" customWidth="1"/>
    <col min="14853" max="14853" width="8.25" customWidth="1"/>
    <col min="14854" max="14854" width="7.5" customWidth="1"/>
    <col min="14855" max="14855" width="5.625" customWidth="1"/>
    <col min="14856" max="14856" width="11.25" customWidth="1"/>
    <col min="14857" max="14857" width="9" customWidth="1"/>
    <col min="14858" max="14858" width="7.75" customWidth="1"/>
    <col min="14859" max="14863" width="6" customWidth="1"/>
    <col min="14864" max="14864" width="9.5" customWidth="1"/>
    <col min="14865" max="14865" width="8.875" customWidth="1"/>
    <col min="15105" max="15105" width="4.5" customWidth="1"/>
    <col min="15106" max="15106" width="6.25" customWidth="1"/>
    <col min="15107" max="15107" width="6.375" customWidth="1"/>
    <col min="15108" max="15108" width="15.125" customWidth="1"/>
    <col min="15109" max="15109" width="8.25" customWidth="1"/>
    <col min="15110" max="15110" width="7.5" customWidth="1"/>
    <col min="15111" max="15111" width="5.625" customWidth="1"/>
    <col min="15112" max="15112" width="11.25" customWidth="1"/>
    <col min="15113" max="15113" width="9" customWidth="1"/>
    <col min="15114" max="15114" width="7.75" customWidth="1"/>
    <col min="15115" max="15119" width="6" customWidth="1"/>
    <col min="15120" max="15120" width="9.5" customWidth="1"/>
    <col min="15121" max="15121" width="8.875" customWidth="1"/>
    <col min="15361" max="15361" width="4.5" customWidth="1"/>
    <col min="15362" max="15362" width="6.25" customWidth="1"/>
    <col min="15363" max="15363" width="6.375" customWidth="1"/>
    <col min="15364" max="15364" width="15.125" customWidth="1"/>
    <col min="15365" max="15365" width="8.25" customWidth="1"/>
    <col min="15366" max="15366" width="7.5" customWidth="1"/>
    <col min="15367" max="15367" width="5.625" customWidth="1"/>
    <col min="15368" max="15368" width="11.25" customWidth="1"/>
    <col min="15369" max="15369" width="9" customWidth="1"/>
    <col min="15370" max="15370" width="7.75" customWidth="1"/>
    <col min="15371" max="15375" width="6" customWidth="1"/>
    <col min="15376" max="15376" width="9.5" customWidth="1"/>
    <col min="15377" max="15377" width="8.875" customWidth="1"/>
    <col min="15617" max="15617" width="4.5" customWidth="1"/>
    <col min="15618" max="15618" width="6.25" customWidth="1"/>
    <col min="15619" max="15619" width="6.375" customWidth="1"/>
    <col min="15620" max="15620" width="15.125" customWidth="1"/>
    <col min="15621" max="15621" width="8.25" customWidth="1"/>
    <col min="15622" max="15622" width="7.5" customWidth="1"/>
    <col min="15623" max="15623" width="5.625" customWidth="1"/>
    <col min="15624" max="15624" width="11.25" customWidth="1"/>
    <col min="15625" max="15625" width="9" customWidth="1"/>
    <col min="15626" max="15626" width="7.75" customWidth="1"/>
    <col min="15627" max="15631" width="6" customWidth="1"/>
    <col min="15632" max="15632" width="9.5" customWidth="1"/>
    <col min="15633" max="15633" width="8.875" customWidth="1"/>
    <col min="15873" max="15873" width="4.5" customWidth="1"/>
    <col min="15874" max="15874" width="6.25" customWidth="1"/>
    <col min="15875" max="15875" width="6.375" customWidth="1"/>
    <col min="15876" max="15876" width="15.125" customWidth="1"/>
    <col min="15877" max="15877" width="8.25" customWidth="1"/>
    <col min="15878" max="15878" width="7.5" customWidth="1"/>
    <col min="15879" max="15879" width="5.625" customWidth="1"/>
    <col min="15880" max="15880" width="11.25" customWidth="1"/>
    <col min="15881" max="15881" width="9" customWidth="1"/>
    <col min="15882" max="15882" width="7.75" customWidth="1"/>
    <col min="15883" max="15887" width="6" customWidth="1"/>
    <col min="15888" max="15888" width="9.5" customWidth="1"/>
    <col min="15889" max="15889" width="8.875" customWidth="1"/>
    <col min="16129" max="16129" width="4.5" customWidth="1"/>
    <col min="16130" max="16130" width="6.25" customWidth="1"/>
    <col min="16131" max="16131" width="6.375" customWidth="1"/>
    <col min="16132" max="16132" width="15.125" customWidth="1"/>
    <col min="16133" max="16133" width="8.25" customWidth="1"/>
    <col min="16134" max="16134" width="7.5" customWidth="1"/>
    <col min="16135" max="16135" width="5.625" customWidth="1"/>
    <col min="16136" max="16136" width="11.25" customWidth="1"/>
    <col min="16137" max="16137" width="9" customWidth="1"/>
    <col min="16138" max="16138" width="7.75" customWidth="1"/>
    <col min="16139" max="16143" width="6" customWidth="1"/>
    <col min="16144" max="16144" width="9.5" customWidth="1"/>
    <col min="16145" max="16145" width="8.875" customWidth="1"/>
  </cols>
  <sheetData>
    <row r="1" ht="24" customHeight="1" spans="1:17">
      <c r="A1" s="18" t="s">
        <v>94</v>
      </c>
      <c r="B1" s="18"/>
      <c r="C1" s="19"/>
      <c r="D1" s="19"/>
      <c r="E1" s="19"/>
      <c r="F1" s="19"/>
      <c r="G1" s="19"/>
      <c r="H1" s="19"/>
      <c r="I1" s="19"/>
      <c r="J1" s="19"/>
      <c r="K1" s="4"/>
      <c r="L1" s="4"/>
      <c r="M1" s="4"/>
      <c r="N1" s="4"/>
      <c r="O1" s="4"/>
      <c r="P1" s="4"/>
      <c r="Q1" s="19"/>
    </row>
    <row r="2" ht="37.5" customHeight="1" spans="1:17">
      <c r="A2" s="20" t="s">
        <v>95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="2" customFormat="1" ht="45" customHeight="1" spans="1:17">
      <c r="A3" s="6" t="s">
        <v>2</v>
      </c>
      <c r="B3" s="6" t="s">
        <v>3</v>
      </c>
      <c r="C3" s="6" t="s">
        <v>96</v>
      </c>
      <c r="D3" s="6" t="s">
        <v>7</v>
      </c>
      <c r="E3" s="6" t="s">
        <v>97</v>
      </c>
      <c r="F3" s="6" t="s">
        <v>98</v>
      </c>
      <c r="G3" s="6" t="s">
        <v>99</v>
      </c>
      <c r="H3" s="6" t="s">
        <v>100</v>
      </c>
      <c r="I3" s="6" t="s">
        <v>101</v>
      </c>
      <c r="J3" s="6" t="s">
        <v>102</v>
      </c>
      <c r="K3" s="11" t="s">
        <v>15</v>
      </c>
      <c r="L3" s="11"/>
      <c r="M3" s="11"/>
      <c r="N3" s="11"/>
      <c r="O3" s="11"/>
      <c r="P3" s="6" t="s">
        <v>16</v>
      </c>
      <c r="Q3" s="6" t="s">
        <v>35</v>
      </c>
    </row>
    <row r="4" s="2" customFormat="1" ht="45" customHeight="1" spans="1:17">
      <c r="A4" s="7"/>
      <c r="B4" s="7"/>
      <c r="C4" s="7"/>
      <c r="D4" s="7"/>
      <c r="E4" s="7"/>
      <c r="F4" s="7"/>
      <c r="G4" s="7"/>
      <c r="H4" s="7"/>
      <c r="I4" s="7"/>
      <c r="J4" s="7"/>
      <c r="K4" s="9" t="s">
        <v>18</v>
      </c>
      <c r="L4" s="9" t="s">
        <v>19</v>
      </c>
      <c r="M4" s="9" t="s">
        <v>20</v>
      </c>
      <c r="N4" s="9" t="s">
        <v>21</v>
      </c>
      <c r="O4" s="9" t="s">
        <v>22</v>
      </c>
      <c r="P4" s="7"/>
      <c r="Q4" s="7"/>
    </row>
    <row r="5" s="2" customFormat="1" ht="54" customHeight="1" spans="1:17">
      <c r="A5" s="9">
        <v>2</v>
      </c>
      <c r="B5" s="9" t="s">
        <v>23</v>
      </c>
      <c r="C5" s="9" t="s">
        <v>103</v>
      </c>
      <c r="D5" s="9" t="s">
        <v>104</v>
      </c>
      <c r="E5" s="9" t="s">
        <v>105</v>
      </c>
      <c r="F5" s="9">
        <v>6.6</v>
      </c>
      <c r="G5" s="9">
        <v>5</v>
      </c>
      <c r="H5" s="9">
        <f>F5*45</f>
        <v>297</v>
      </c>
      <c r="I5" s="9" t="s">
        <v>30</v>
      </c>
      <c r="J5" s="9" t="s">
        <v>31</v>
      </c>
      <c r="K5" s="9"/>
      <c r="L5" s="9"/>
      <c r="M5" s="15">
        <v>1</v>
      </c>
      <c r="N5" s="9"/>
      <c r="O5" s="9"/>
      <c r="P5" s="9">
        <f>H5*50%</f>
        <v>148.5</v>
      </c>
      <c r="Q5" s="9"/>
    </row>
    <row r="6" ht="36.75" customHeight="1" spans="1:17">
      <c r="A6" s="28" t="s">
        <v>106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</row>
  </sheetData>
  <mergeCells count="16">
    <mergeCell ref="A1:B1"/>
    <mergeCell ref="A2:Q2"/>
    <mergeCell ref="K3:O3"/>
    <mergeCell ref="A6:Q6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P3:P4"/>
    <mergeCell ref="Q3:Q4"/>
  </mergeCell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workbookViewId="0">
      <selection activeCell="F16" sqref="F16"/>
    </sheetView>
  </sheetViews>
  <sheetFormatPr defaultColWidth="9" defaultRowHeight="14.25"/>
  <cols>
    <col min="1" max="2" width="5.375" customWidth="1"/>
    <col min="3" max="3" width="6.875" customWidth="1"/>
    <col min="4" max="4" width="12.375" customWidth="1"/>
    <col min="5" max="7" width="7.625" customWidth="1"/>
    <col min="8" max="8" width="15" customWidth="1"/>
    <col min="9" max="10" width="7.625" customWidth="1"/>
    <col min="11" max="15" width="6.875" style="2" customWidth="1"/>
    <col min="16" max="16" width="7.5" style="2" customWidth="1"/>
    <col min="17" max="17" width="7.625" customWidth="1"/>
    <col min="19" max="19" width="28.75" customWidth="1"/>
    <col min="21" max="21" width="16.875" customWidth="1"/>
    <col min="257" max="258" width="5.375" customWidth="1"/>
    <col min="259" max="259" width="6.875" customWidth="1"/>
    <col min="260" max="260" width="12.375" customWidth="1"/>
    <col min="261" max="263" width="7.625" customWidth="1"/>
    <col min="264" max="264" width="15" customWidth="1"/>
    <col min="265" max="266" width="7.625" customWidth="1"/>
    <col min="267" max="271" width="6.875" customWidth="1"/>
    <col min="272" max="272" width="7.5" customWidth="1"/>
    <col min="273" max="273" width="7.625" customWidth="1"/>
    <col min="275" max="275" width="28.75" customWidth="1"/>
    <col min="277" max="277" width="16.875" customWidth="1"/>
    <col min="513" max="514" width="5.375" customWidth="1"/>
    <col min="515" max="515" width="6.875" customWidth="1"/>
    <col min="516" max="516" width="12.375" customWidth="1"/>
    <col min="517" max="519" width="7.625" customWidth="1"/>
    <col min="520" max="520" width="15" customWidth="1"/>
    <col min="521" max="522" width="7.625" customWidth="1"/>
    <col min="523" max="527" width="6.875" customWidth="1"/>
    <col min="528" max="528" width="7.5" customWidth="1"/>
    <col min="529" max="529" width="7.625" customWidth="1"/>
    <col min="531" max="531" width="28.75" customWidth="1"/>
    <col min="533" max="533" width="16.875" customWidth="1"/>
    <col min="769" max="770" width="5.375" customWidth="1"/>
    <col min="771" max="771" width="6.875" customWidth="1"/>
    <col min="772" max="772" width="12.375" customWidth="1"/>
    <col min="773" max="775" width="7.625" customWidth="1"/>
    <col min="776" max="776" width="15" customWidth="1"/>
    <col min="777" max="778" width="7.625" customWidth="1"/>
    <col min="779" max="783" width="6.875" customWidth="1"/>
    <col min="784" max="784" width="7.5" customWidth="1"/>
    <col min="785" max="785" width="7.625" customWidth="1"/>
    <col min="787" max="787" width="28.75" customWidth="1"/>
    <col min="789" max="789" width="16.875" customWidth="1"/>
    <col min="1025" max="1026" width="5.375" customWidth="1"/>
    <col min="1027" max="1027" width="6.875" customWidth="1"/>
    <col min="1028" max="1028" width="12.375" customWidth="1"/>
    <col min="1029" max="1031" width="7.625" customWidth="1"/>
    <col min="1032" max="1032" width="15" customWidth="1"/>
    <col min="1033" max="1034" width="7.625" customWidth="1"/>
    <col min="1035" max="1039" width="6.875" customWidth="1"/>
    <col min="1040" max="1040" width="7.5" customWidth="1"/>
    <col min="1041" max="1041" width="7.625" customWidth="1"/>
    <col min="1043" max="1043" width="28.75" customWidth="1"/>
    <col min="1045" max="1045" width="16.875" customWidth="1"/>
    <col min="1281" max="1282" width="5.375" customWidth="1"/>
    <col min="1283" max="1283" width="6.875" customWidth="1"/>
    <col min="1284" max="1284" width="12.375" customWidth="1"/>
    <col min="1285" max="1287" width="7.625" customWidth="1"/>
    <col min="1288" max="1288" width="15" customWidth="1"/>
    <col min="1289" max="1290" width="7.625" customWidth="1"/>
    <col min="1291" max="1295" width="6.875" customWidth="1"/>
    <col min="1296" max="1296" width="7.5" customWidth="1"/>
    <col min="1297" max="1297" width="7.625" customWidth="1"/>
    <col min="1299" max="1299" width="28.75" customWidth="1"/>
    <col min="1301" max="1301" width="16.875" customWidth="1"/>
    <col min="1537" max="1538" width="5.375" customWidth="1"/>
    <col min="1539" max="1539" width="6.875" customWidth="1"/>
    <col min="1540" max="1540" width="12.375" customWidth="1"/>
    <col min="1541" max="1543" width="7.625" customWidth="1"/>
    <col min="1544" max="1544" width="15" customWidth="1"/>
    <col min="1545" max="1546" width="7.625" customWidth="1"/>
    <col min="1547" max="1551" width="6.875" customWidth="1"/>
    <col min="1552" max="1552" width="7.5" customWidth="1"/>
    <col min="1553" max="1553" width="7.625" customWidth="1"/>
    <col min="1555" max="1555" width="28.75" customWidth="1"/>
    <col min="1557" max="1557" width="16.875" customWidth="1"/>
    <col min="1793" max="1794" width="5.375" customWidth="1"/>
    <col min="1795" max="1795" width="6.875" customWidth="1"/>
    <col min="1796" max="1796" width="12.375" customWidth="1"/>
    <col min="1797" max="1799" width="7.625" customWidth="1"/>
    <col min="1800" max="1800" width="15" customWidth="1"/>
    <col min="1801" max="1802" width="7.625" customWidth="1"/>
    <col min="1803" max="1807" width="6.875" customWidth="1"/>
    <col min="1808" max="1808" width="7.5" customWidth="1"/>
    <col min="1809" max="1809" width="7.625" customWidth="1"/>
    <col min="1811" max="1811" width="28.75" customWidth="1"/>
    <col min="1813" max="1813" width="16.875" customWidth="1"/>
    <col min="2049" max="2050" width="5.375" customWidth="1"/>
    <col min="2051" max="2051" width="6.875" customWidth="1"/>
    <col min="2052" max="2052" width="12.375" customWidth="1"/>
    <col min="2053" max="2055" width="7.625" customWidth="1"/>
    <col min="2056" max="2056" width="15" customWidth="1"/>
    <col min="2057" max="2058" width="7.625" customWidth="1"/>
    <col min="2059" max="2063" width="6.875" customWidth="1"/>
    <col min="2064" max="2064" width="7.5" customWidth="1"/>
    <col min="2065" max="2065" width="7.625" customWidth="1"/>
    <col min="2067" max="2067" width="28.75" customWidth="1"/>
    <col min="2069" max="2069" width="16.875" customWidth="1"/>
    <col min="2305" max="2306" width="5.375" customWidth="1"/>
    <col min="2307" max="2307" width="6.875" customWidth="1"/>
    <col min="2308" max="2308" width="12.375" customWidth="1"/>
    <col min="2309" max="2311" width="7.625" customWidth="1"/>
    <col min="2312" max="2312" width="15" customWidth="1"/>
    <col min="2313" max="2314" width="7.625" customWidth="1"/>
    <col min="2315" max="2319" width="6.875" customWidth="1"/>
    <col min="2320" max="2320" width="7.5" customWidth="1"/>
    <col min="2321" max="2321" width="7.625" customWidth="1"/>
    <col min="2323" max="2323" width="28.75" customWidth="1"/>
    <col min="2325" max="2325" width="16.875" customWidth="1"/>
    <col min="2561" max="2562" width="5.375" customWidth="1"/>
    <col min="2563" max="2563" width="6.875" customWidth="1"/>
    <col min="2564" max="2564" width="12.375" customWidth="1"/>
    <col min="2565" max="2567" width="7.625" customWidth="1"/>
    <col min="2568" max="2568" width="15" customWidth="1"/>
    <col min="2569" max="2570" width="7.625" customWidth="1"/>
    <col min="2571" max="2575" width="6.875" customWidth="1"/>
    <col min="2576" max="2576" width="7.5" customWidth="1"/>
    <col min="2577" max="2577" width="7.625" customWidth="1"/>
    <col min="2579" max="2579" width="28.75" customWidth="1"/>
    <col min="2581" max="2581" width="16.875" customWidth="1"/>
    <col min="2817" max="2818" width="5.375" customWidth="1"/>
    <col min="2819" max="2819" width="6.875" customWidth="1"/>
    <col min="2820" max="2820" width="12.375" customWidth="1"/>
    <col min="2821" max="2823" width="7.625" customWidth="1"/>
    <col min="2824" max="2824" width="15" customWidth="1"/>
    <col min="2825" max="2826" width="7.625" customWidth="1"/>
    <col min="2827" max="2831" width="6.875" customWidth="1"/>
    <col min="2832" max="2832" width="7.5" customWidth="1"/>
    <col min="2833" max="2833" width="7.625" customWidth="1"/>
    <col min="2835" max="2835" width="28.75" customWidth="1"/>
    <col min="2837" max="2837" width="16.875" customWidth="1"/>
    <col min="3073" max="3074" width="5.375" customWidth="1"/>
    <col min="3075" max="3075" width="6.875" customWidth="1"/>
    <col min="3076" max="3076" width="12.375" customWidth="1"/>
    <col min="3077" max="3079" width="7.625" customWidth="1"/>
    <col min="3080" max="3080" width="15" customWidth="1"/>
    <col min="3081" max="3082" width="7.625" customWidth="1"/>
    <col min="3083" max="3087" width="6.875" customWidth="1"/>
    <col min="3088" max="3088" width="7.5" customWidth="1"/>
    <col min="3089" max="3089" width="7.625" customWidth="1"/>
    <col min="3091" max="3091" width="28.75" customWidth="1"/>
    <col min="3093" max="3093" width="16.875" customWidth="1"/>
    <col min="3329" max="3330" width="5.375" customWidth="1"/>
    <col min="3331" max="3331" width="6.875" customWidth="1"/>
    <col min="3332" max="3332" width="12.375" customWidth="1"/>
    <col min="3333" max="3335" width="7.625" customWidth="1"/>
    <col min="3336" max="3336" width="15" customWidth="1"/>
    <col min="3337" max="3338" width="7.625" customWidth="1"/>
    <col min="3339" max="3343" width="6.875" customWidth="1"/>
    <col min="3344" max="3344" width="7.5" customWidth="1"/>
    <col min="3345" max="3345" width="7.625" customWidth="1"/>
    <col min="3347" max="3347" width="28.75" customWidth="1"/>
    <col min="3349" max="3349" width="16.875" customWidth="1"/>
    <col min="3585" max="3586" width="5.375" customWidth="1"/>
    <col min="3587" max="3587" width="6.875" customWidth="1"/>
    <col min="3588" max="3588" width="12.375" customWidth="1"/>
    <col min="3589" max="3591" width="7.625" customWidth="1"/>
    <col min="3592" max="3592" width="15" customWidth="1"/>
    <col min="3593" max="3594" width="7.625" customWidth="1"/>
    <col min="3595" max="3599" width="6.875" customWidth="1"/>
    <col min="3600" max="3600" width="7.5" customWidth="1"/>
    <col min="3601" max="3601" width="7.625" customWidth="1"/>
    <col min="3603" max="3603" width="28.75" customWidth="1"/>
    <col min="3605" max="3605" width="16.875" customWidth="1"/>
    <col min="3841" max="3842" width="5.375" customWidth="1"/>
    <col min="3843" max="3843" width="6.875" customWidth="1"/>
    <col min="3844" max="3844" width="12.375" customWidth="1"/>
    <col min="3845" max="3847" width="7.625" customWidth="1"/>
    <col min="3848" max="3848" width="15" customWidth="1"/>
    <col min="3849" max="3850" width="7.625" customWidth="1"/>
    <col min="3851" max="3855" width="6.875" customWidth="1"/>
    <col min="3856" max="3856" width="7.5" customWidth="1"/>
    <col min="3857" max="3857" width="7.625" customWidth="1"/>
    <col min="3859" max="3859" width="28.75" customWidth="1"/>
    <col min="3861" max="3861" width="16.875" customWidth="1"/>
    <col min="4097" max="4098" width="5.375" customWidth="1"/>
    <col min="4099" max="4099" width="6.875" customWidth="1"/>
    <col min="4100" max="4100" width="12.375" customWidth="1"/>
    <col min="4101" max="4103" width="7.625" customWidth="1"/>
    <col min="4104" max="4104" width="15" customWidth="1"/>
    <col min="4105" max="4106" width="7.625" customWidth="1"/>
    <col min="4107" max="4111" width="6.875" customWidth="1"/>
    <col min="4112" max="4112" width="7.5" customWidth="1"/>
    <col min="4113" max="4113" width="7.625" customWidth="1"/>
    <col min="4115" max="4115" width="28.75" customWidth="1"/>
    <col min="4117" max="4117" width="16.875" customWidth="1"/>
    <col min="4353" max="4354" width="5.375" customWidth="1"/>
    <col min="4355" max="4355" width="6.875" customWidth="1"/>
    <col min="4356" max="4356" width="12.375" customWidth="1"/>
    <col min="4357" max="4359" width="7.625" customWidth="1"/>
    <col min="4360" max="4360" width="15" customWidth="1"/>
    <col min="4361" max="4362" width="7.625" customWidth="1"/>
    <col min="4363" max="4367" width="6.875" customWidth="1"/>
    <col min="4368" max="4368" width="7.5" customWidth="1"/>
    <col min="4369" max="4369" width="7.625" customWidth="1"/>
    <col min="4371" max="4371" width="28.75" customWidth="1"/>
    <col min="4373" max="4373" width="16.875" customWidth="1"/>
    <col min="4609" max="4610" width="5.375" customWidth="1"/>
    <col min="4611" max="4611" width="6.875" customWidth="1"/>
    <col min="4612" max="4612" width="12.375" customWidth="1"/>
    <col min="4613" max="4615" width="7.625" customWidth="1"/>
    <col min="4616" max="4616" width="15" customWidth="1"/>
    <col min="4617" max="4618" width="7.625" customWidth="1"/>
    <col min="4619" max="4623" width="6.875" customWidth="1"/>
    <col min="4624" max="4624" width="7.5" customWidth="1"/>
    <col min="4625" max="4625" width="7.625" customWidth="1"/>
    <col min="4627" max="4627" width="28.75" customWidth="1"/>
    <col min="4629" max="4629" width="16.875" customWidth="1"/>
    <col min="4865" max="4866" width="5.375" customWidth="1"/>
    <col min="4867" max="4867" width="6.875" customWidth="1"/>
    <col min="4868" max="4868" width="12.375" customWidth="1"/>
    <col min="4869" max="4871" width="7.625" customWidth="1"/>
    <col min="4872" max="4872" width="15" customWidth="1"/>
    <col min="4873" max="4874" width="7.625" customWidth="1"/>
    <col min="4875" max="4879" width="6.875" customWidth="1"/>
    <col min="4880" max="4880" width="7.5" customWidth="1"/>
    <col min="4881" max="4881" width="7.625" customWidth="1"/>
    <col min="4883" max="4883" width="28.75" customWidth="1"/>
    <col min="4885" max="4885" width="16.875" customWidth="1"/>
    <col min="5121" max="5122" width="5.375" customWidth="1"/>
    <col min="5123" max="5123" width="6.875" customWidth="1"/>
    <col min="5124" max="5124" width="12.375" customWidth="1"/>
    <col min="5125" max="5127" width="7.625" customWidth="1"/>
    <col min="5128" max="5128" width="15" customWidth="1"/>
    <col min="5129" max="5130" width="7.625" customWidth="1"/>
    <col min="5131" max="5135" width="6.875" customWidth="1"/>
    <col min="5136" max="5136" width="7.5" customWidth="1"/>
    <col min="5137" max="5137" width="7.625" customWidth="1"/>
    <col min="5139" max="5139" width="28.75" customWidth="1"/>
    <col min="5141" max="5141" width="16.875" customWidth="1"/>
    <col min="5377" max="5378" width="5.375" customWidth="1"/>
    <col min="5379" max="5379" width="6.875" customWidth="1"/>
    <col min="5380" max="5380" width="12.375" customWidth="1"/>
    <col min="5381" max="5383" width="7.625" customWidth="1"/>
    <col min="5384" max="5384" width="15" customWidth="1"/>
    <col min="5385" max="5386" width="7.625" customWidth="1"/>
    <col min="5387" max="5391" width="6.875" customWidth="1"/>
    <col min="5392" max="5392" width="7.5" customWidth="1"/>
    <col min="5393" max="5393" width="7.625" customWidth="1"/>
    <col min="5395" max="5395" width="28.75" customWidth="1"/>
    <col min="5397" max="5397" width="16.875" customWidth="1"/>
    <col min="5633" max="5634" width="5.375" customWidth="1"/>
    <col min="5635" max="5635" width="6.875" customWidth="1"/>
    <col min="5636" max="5636" width="12.375" customWidth="1"/>
    <col min="5637" max="5639" width="7.625" customWidth="1"/>
    <col min="5640" max="5640" width="15" customWidth="1"/>
    <col min="5641" max="5642" width="7.625" customWidth="1"/>
    <col min="5643" max="5647" width="6.875" customWidth="1"/>
    <col min="5648" max="5648" width="7.5" customWidth="1"/>
    <col min="5649" max="5649" width="7.625" customWidth="1"/>
    <col min="5651" max="5651" width="28.75" customWidth="1"/>
    <col min="5653" max="5653" width="16.875" customWidth="1"/>
    <col min="5889" max="5890" width="5.375" customWidth="1"/>
    <col min="5891" max="5891" width="6.875" customWidth="1"/>
    <col min="5892" max="5892" width="12.375" customWidth="1"/>
    <col min="5893" max="5895" width="7.625" customWidth="1"/>
    <col min="5896" max="5896" width="15" customWidth="1"/>
    <col min="5897" max="5898" width="7.625" customWidth="1"/>
    <col min="5899" max="5903" width="6.875" customWidth="1"/>
    <col min="5904" max="5904" width="7.5" customWidth="1"/>
    <col min="5905" max="5905" width="7.625" customWidth="1"/>
    <col min="5907" max="5907" width="28.75" customWidth="1"/>
    <col min="5909" max="5909" width="16.875" customWidth="1"/>
    <col min="6145" max="6146" width="5.375" customWidth="1"/>
    <col min="6147" max="6147" width="6.875" customWidth="1"/>
    <col min="6148" max="6148" width="12.375" customWidth="1"/>
    <col min="6149" max="6151" width="7.625" customWidth="1"/>
    <col min="6152" max="6152" width="15" customWidth="1"/>
    <col min="6153" max="6154" width="7.625" customWidth="1"/>
    <col min="6155" max="6159" width="6.875" customWidth="1"/>
    <col min="6160" max="6160" width="7.5" customWidth="1"/>
    <col min="6161" max="6161" width="7.625" customWidth="1"/>
    <col min="6163" max="6163" width="28.75" customWidth="1"/>
    <col min="6165" max="6165" width="16.875" customWidth="1"/>
    <col min="6401" max="6402" width="5.375" customWidth="1"/>
    <col min="6403" max="6403" width="6.875" customWidth="1"/>
    <col min="6404" max="6404" width="12.375" customWidth="1"/>
    <col min="6405" max="6407" width="7.625" customWidth="1"/>
    <col min="6408" max="6408" width="15" customWidth="1"/>
    <col min="6409" max="6410" width="7.625" customWidth="1"/>
    <col min="6411" max="6415" width="6.875" customWidth="1"/>
    <col min="6416" max="6416" width="7.5" customWidth="1"/>
    <col min="6417" max="6417" width="7.625" customWidth="1"/>
    <col min="6419" max="6419" width="28.75" customWidth="1"/>
    <col min="6421" max="6421" width="16.875" customWidth="1"/>
    <col min="6657" max="6658" width="5.375" customWidth="1"/>
    <col min="6659" max="6659" width="6.875" customWidth="1"/>
    <col min="6660" max="6660" width="12.375" customWidth="1"/>
    <col min="6661" max="6663" width="7.625" customWidth="1"/>
    <col min="6664" max="6664" width="15" customWidth="1"/>
    <col min="6665" max="6666" width="7.625" customWidth="1"/>
    <col min="6667" max="6671" width="6.875" customWidth="1"/>
    <col min="6672" max="6672" width="7.5" customWidth="1"/>
    <col min="6673" max="6673" width="7.625" customWidth="1"/>
    <col min="6675" max="6675" width="28.75" customWidth="1"/>
    <col min="6677" max="6677" width="16.875" customWidth="1"/>
    <col min="6913" max="6914" width="5.375" customWidth="1"/>
    <col min="6915" max="6915" width="6.875" customWidth="1"/>
    <col min="6916" max="6916" width="12.375" customWidth="1"/>
    <col min="6917" max="6919" width="7.625" customWidth="1"/>
    <col min="6920" max="6920" width="15" customWidth="1"/>
    <col min="6921" max="6922" width="7.625" customWidth="1"/>
    <col min="6923" max="6927" width="6.875" customWidth="1"/>
    <col min="6928" max="6928" width="7.5" customWidth="1"/>
    <col min="6929" max="6929" width="7.625" customWidth="1"/>
    <col min="6931" max="6931" width="28.75" customWidth="1"/>
    <col min="6933" max="6933" width="16.875" customWidth="1"/>
    <col min="7169" max="7170" width="5.375" customWidth="1"/>
    <col min="7171" max="7171" width="6.875" customWidth="1"/>
    <col min="7172" max="7172" width="12.375" customWidth="1"/>
    <col min="7173" max="7175" width="7.625" customWidth="1"/>
    <col min="7176" max="7176" width="15" customWidth="1"/>
    <col min="7177" max="7178" width="7.625" customWidth="1"/>
    <col min="7179" max="7183" width="6.875" customWidth="1"/>
    <col min="7184" max="7184" width="7.5" customWidth="1"/>
    <col min="7185" max="7185" width="7.625" customWidth="1"/>
    <col min="7187" max="7187" width="28.75" customWidth="1"/>
    <col min="7189" max="7189" width="16.875" customWidth="1"/>
    <col min="7425" max="7426" width="5.375" customWidth="1"/>
    <col min="7427" max="7427" width="6.875" customWidth="1"/>
    <col min="7428" max="7428" width="12.375" customWidth="1"/>
    <col min="7429" max="7431" width="7.625" customWidth="1"/>
    <col min="7432" max="7432" width="15" customWidth="1"/>
    <col min="7433" max="7434" width="7.625" customWidth="1"/>
    <col min="7435" max="7439" width="6.875" customWidth="1"/>
    <col min="7440" max="7440" width="7.5" customWidth="1"/>
    <col min="7441" max="7441" width="7.625" customWidth="1"/>
    <col min="7443" max="7443" width="28.75" customWidth="1"/>
    <col min="7445" max="7445" width="16.875" customWidth="1"/>
    <col min="7681" max="7682" width="5.375" customWidth="1"/>
    <col min="7683" max="7683" width="6.875" customWidth="1"/>
    <col min="7684" max="7684" width="12.375" customWidth="1"/>
    <col min="7685" max="7687" width="7.625" customWidth="1"/>
    <col min="7688" max="7688" width="15" customWidth="1"/>
    <col min="7689" max="7690" width="7.625" customWidth="1"/>
    <col min="7691" max="7695" width="6.875" customWidth="1"/>
    <col min="7696" max="7696" width="7.5" customWidth="1"/>
    <col min="7697" max="7697" width="7.625" customWidth="1"/>
    <col min="7699" max="7699" width="28.75" customWidth="1"/>
    <col min="7701" max="7701" width="16.875" customWidth="1"/>
    <col min="7937" max="7938" width="5.375" customWidth="1"/>
    <col min="7939" max="7939" width="6.875" customWidth="1"/>
    <col min="7940" max="7940" width="12.375" customWidth="1"/>
    <col min="7941" max="7943" width="7.625" customWidth="1"/>
    <col min="7944" max="7944" width="15" customWidth="1"/>
    <col min="7945" max="7946" width="7.625" customWidth="1"/>
    <col min="7947" max="7951" width="6.875" customWidth="1"/>
    <col min="7952" max="7952" width="7.5" customWidth="1"/>
    <col min="7953" max="7953" width="7.625" customWidth="1"/>
    <col min="7955" max="7955" width="28.75" customWidth="1"/>
    <col min="7957" max="7957" width="16.875" customWidth="1"/>
    <col min="8193" max="8194" width="5.375" customWidth="1"/>
    <col min="8195" max="8195" width="6.875" customWidth="1"/>
    <col min="8196" max="8196" width="12.375" customWidth="1"/>
    <col min="8197" max="8199" width="7.625" customWidth="1"/>
    <col min="8200" max="8200" width="15" customWidth="1"/>
    <col min="8201" max="8202" width="7.625" customWidth="1"/>
    <col min="8203" max="8207" width="6.875" customWidth="1"/>
    <col min="8208" max="8208" width="7.5" customWidth="1"/>
    <col min="8209" max="8209" width="7.625" customWidth="1"/>
    <col min="8211" max="8211" width="28.75" customWidth="1"/>
    <col min="8213" max="8213" width="16.875" customWidth="1"/>
    <col min="8449" max="8450" width="5.375" customWidth="1"/>
    <col min="8451" max="8451" width="6.875" customWidth="1"/>
    <col min="8452" max="8452" width="12.375" customWidth="1"/>
    <col min="8453" max="8455" width="7.625" customWidth="1"/>
    <col min="8456" max="8456" width="15" customWidth="1"/>
    <col min="8457" max="8458" width="7.625" customWidth="1"/>
    <col min="8459" max="8463" width="6.875" customWidth="1"/>
    <col min="8464" max="8464" width="7.5" customWidth="1"/>
    <col min="8465" max="8465" width="7.625" customWidth="1"/>
    <col min="8467" max="8467" width="28.75" customWidth="1"/>
    <col min="8469" max="8469" width="16.875" customWidth="1"/>
    <col min="8705" max="8706" width="5.375" customWidth="1"/>
    <col min="8707" max="8707" width="6.875" customWidth="1"/>
    <col min="8708" max="8708" width="12.375" customWidth="1"/>
    <col min="8709" max="8711" width="7.625" customWidth="1"/>
    <col min="8712" max="8712" width="15" customWidth="1"/>
    <col min="8713" max="8714" width="7.625" customWidth="1"/>
    <col min="8715" max="8719" width="6.875" customWidth="1"/>
    <col min="8720" max="8720" width="7.5" customWidth="1"/>
    <col min="8721" max="8721" width="7.625" customWidth="1"/>
    <col min="8723" max="8723" width="28.75" customWidth="1"/>
    <col min="8725" max="8725" width="16.875" customWidth="1"/>
    <col min="8961" max="8962" width="5.375" customWidth="1"/>
    <col min="8963" max="8963" width="6.875" customWidth="1"/>
    <col min="8964" max="8964" width="12.375" customWidth="1"/>
    <col min="8965" max="8967" width="7.625" customWidth="1"/>
    <col min="8968" max="8968" width="15" customWidth="1"/>
    <col min="8969" max="8970" width="7.625" customWidth="1"/>
    <col min="8971" max="8975" width="6.875" customWidth="1"/>
    <col min="8976" max="8976" width="7.5" customWidth="1"/>
    <col min="8977" max="8977" width="7.625" customWidth="1"/>
    <col min="8979" max="8979" width="28.75" customWidth="1"/>
    <col min="8981" max="8981" width="16.875" customWidth="1"/>
    <col min="9217" max="9218" width="5.375" customWidth="1"/>
    <col min="9219" max="9219" width="6.875" customWidth="1"/>
    <col min="9220" max="9220" width="12.375" customWidth="1"/>
    <col min="9221" max="9223" width="7.625" customWidth="1"/>
    <col min="9224" max="9224" width="15" customWidth="1"/>
    <col min="9225" max="9226" width="7.625" customWidth="1"/>
    <col min="9227" max="9231" width="6.875" customWidth="1"/>
    <col min="9232" max="9232" width="7.5" customWidth="1"/>
    <col min="9233" max="9233" width="7.625" customWidth="1"/>
    <col min="9235" max="9235" width="28.75" customWidth="1"/>
    <col min="9237" max="9237" width="16.875" customWidth="1"/>
    <col min="9473" max="9474" width="5.375" customWidth="1"/>
    <col min="9475" max="9475" width="6.875" customWidth="1"/>
    <col min="9476" max="9476" width="12.375" customWidth="1"/>
    <col min="9477" max="9479" width="7.625" customWidth="1"/>
    <col min="9480" max="9480" width="15" customWidth="1"/>
    <col min="9481" max="9482" width="7.625" customWidth="1"/>
    <col min="9483" max="9487" width="6.875" customWidth="1"/>
    <col min="9488" max="9488" width="7.5" customWidth="1"/>
    <col min="9489" max="9489" width="7.625" customWidth="1"/>
    <col min="9491" max="9491" width="28.75" customWidth="1"/>
    <col min="9493" max="9493" width="16.875" customWidth="1"/>
    <col min="9729" max="9730" width="5.375" customWidth="1"/>
    <col min="9731" max="9731" width="6.875" customWidth="1"/>
    <col min="9732" max="9732" width="12.375" customWidth="1"/>
    <col min="9733" max="9735" width="7.625" customWidth="1"/>
    <col min="9736" max="9736" width="15" customWidth="1"/>
    <col min="9737" max="9738" width="7.625" customWidth="1"/>
    <col min="9739" max="9743" width="6.875" customWidth="1"/>
    <col min="9744" max="9744" width="7.5" customWidth="1"/>
    <col min="9745" max="9745" width="7.625" customWidth="1"/>
    <col min="9747" max="9747" width="28.75" customWidth="1"/>
    <col min="9749" max="9749" width="16.875" customWidth="1"/>
    <col min="9985" max="9986" width="5.375" customWidth="1"/>
    <col min="9987" max="9987" width="6.875" customWidth="1"/>
    <col min="9988" max="9988" width="12.375" customWidth="1"/>
    <col min="9989" max="9991" width="7.625" customWidth="1"/>
    <col min="9992" max="9992" width="15" customWidth="1"/>
    <col min="9993" max="9994" width="7.625" customWidth="1"/>
    <col min="9995" max="9999" width="6.875" customWidth="1"/>
    <col min="10000" max="10000" width="7.5" customWidth="1"/>
    <col min="10001" max="10001" width="7.625" customWidth="1"/>
    <col min="10003" max="10003" width="28.75" customWidth="1"/>
    <col min="10005" max="10005" width="16.875" customWidth="1"/>
    <col min="10241" max="10242" width="5.375" customWidth="1"/>
    <col min="10243" max="10243" width="6.875" customWidth="1"/>
    <col min="10244" max="10244" width="12.375" customWidth="1"/>
    <col min="10245" max="10247" width="7.625" customWidth="1"/>
    <col min="10248" max="10248" width="15" customWidth="1"/>
    <col min="10249" max="10250" width="7.625" customWidth="1"/>
    <col min="10251" max="10255" width="6.875" customWidth="1"/>
    <col min="10256" max="10256" width="7.5" customWidth="1"/>
    <col min="10257" max="10257" width="7.625" customWidth="1"/>
    <col min="10259" max="10259" width="28.75" customWidth="1"/>
    <col min="10261" max="10261" width="16.875" customWidth="1"/>
    <col min="10497" max="10498" width="5.375" customWidth="1"/>
    <col min="10499" max="10499" width="6.875" customWidth="1"/>
    <col min="10500" max="10500" width="12.375" customWidth="1"/>
    <col min="10501" max="10503" width="7.625" customWidth="1"/>
    <col min="10504" max="10504" width="15" customWidth="1"/>
    <col min="10505" max="10506" width="7.625" customWidth="1"/>
    <col min="10507" max="10511" width="6.875" customWidth="1"/>
    <col min="10512" max="10512" width="7.5" customWidth="1"/>
    <col min="10513" max="10513" width="7.625" customWidth="1"/>
    <col min="10515" max="10515" width="28.75" customWidth="1"/>
    <col min="10517" max="10517" width="16.875" customWidth="1"/>
    <col min="10753" max="10754" width="5.375" customWidth="1"/>
    <col min="10755" max="10755" width="6.875" customWidth="1"/>
    <col min="10756" max="10756" width="12.375" customWidth="1"/>
    <col min="10757" max="10759" width="7.625" customWidth="1"/>
    <col min="10760" max="10760" width="15" customWidth="1"/>
    <col min="10761" max="10762" width="7.625" customWidth="1"/>
    <col min="10763" max="10767" width="6.875" customWidth="1"/>
    <col min="10768" max="10768" width="7.5" customWidth="1"/>
    <col min="10769" max="10769" width="7.625" customWidth="1"/>
    <col min="10771" max="10771" width="28.75" customWidth="1"/>
    <col min="10773" max="10773" width="16.875" customWidth="1"/>
    <col min="11009" max="11010" width="5.375" customWidth="1"/>
    <col min="11011" max="11011" width="6.875" customWidth="1"/>
    <col min="11012" max="11012" width="12.375" customWidth="1"/>
    <col min="11013" max="11015" width="7.625" customWidth="1"/>
    <col min="11016" max="11016" width="15" customWidth="1"/>
    <col min="11017" max="11018" width="7.625" customWidth="1"/>
    <col min="11019" max="11023" width="6.875" customWidth="1"/>
    <col min="11024" max="11024" width="7.5" customWidth="1"/>
    <col min="11025" max="11025" width="7.625" customWidth="1"/>
    <col min="11027" max="11027" width="28.75" customWidth="1"/>
    <col min="11029" max="11029" width="16.875" customWidth="1"/>
    <col min="11265" max="11266" width="5.375" customWidth="1"/>
    <col min="11267" max="11267" width="6.875" customWidth="1"/>
    <col min="11268" max="11268" width="12.375" customWidth="1"/>
    <col min="11269" max="11271" width="7.625" customWidth="1"/>
    <col min="11272" max="11272" width="15" customWidth="1"/>
    <col min="11273" max="11274" width="7.625" customWidth="1"/>
    <col min="11275" max="11279" width="6.875" customWidth="1"/>
    <col min="11280" max="11280" width="7.5" customWidth="1"/>
    <col min="11281" max="11281" width="7.625" customWidth="1"/>
    <col min="11283" max="11283" width="28.75" customWidth="1"/>
    <col min="11285" max="11285" width="16.875" customWidth="1"/>
    <col min="11521" max="11522" width="5.375" customWidth="1"/>
    <col min="11523" max="11523" width="6.875" customWidth="1"/>
    <col min="11524" max="11524" width="12.375" customWidth="1"/>
    <col min="11525" max="11527" width="7.625" customWidth="1"/>
    <col min="11528" max="11528" width="15" customWidth="1"/>
    <col min="11529" max="11530" width="7.625" customWidth="1"/>
    <col min="11531" max="11535" width="6.875" customWidth="1"/>
    <col min="11536" max="11536" width="7.5" customWidth="1"/>
    <col min="11537" max="11537" width="7.625" customWidth="1"/>
    <col min="11539" max="11539" width="28.75" customWidth="1"/>
    <col min="11541" max="11541" width="16.875" customWidth="1"/>
    <col min="11777" max="11778" width="5.375" customWidth="1"/>
    <col min="11779" max="11779" width="6.875" customWidth="1"/>
    <col min="11780" max="11780" width="12.375" customWidth="1"/>
    <col min="11781" max="11783" width="7.625" customWidth="1"/>
    <col min="11784" max="11784" width="15" customWidth="1"/>
    <col min="11785" max="11786" width="7.625" customWidth="1"/>
    <col min="11787" max="11791" width="6.875" customWidth="1"/>
    <col min="11792" max="11792" width="7.5" customWidth="1"/>
    <col min="11793" max="11793" width="7.625" customWidth="1"/>
    <col min="11795" max="11795" width="28.75" customWidth="1"/>
    <col min="11797" max="11797" width="16.875" customWidth="1"/>
    <col min="12033" max="12034" width="5.375" customWidth="1"/>
    <col min="12035" max="12035" width="6.875" customWidth="1"/>
    <col min="12036" max="12036" width="12.375" customWidth="1"/>
    <col min="12037" max="12039" width="7.625" customWidth="1"/>
    <col min="12040" max="12040" width="15" customWidth="1"/>
    <col min="12041" max="12042" width="7.625" customWidth="1"/>
    <col min="12043" max="12047" width="6.875" customWidth="1"/>
    <col min="12048" max="12048" width="7.5" customWidth="1"/>
    <col min="12049" max="12049" width="7.625" customWidth="1"/>
    <col min="12051" max="12051" width="28.75" customWidth="1"/>
    <col min="12053" max="12053" width="16.875" customWidth="1"/>
    <col min="12289" max="12290" width="5.375" customWidth="1"/>
    <col min="12291" max="12291" width="6.875" customWidth="1"/>
    <col min="12292" max="12292" width="12.375" customWidth="1"/>
    <col min="12293" max="12295" width="7.625" customWidth="1"/>
    <col min="12296" max="12296" width="15" customWidth="1"/>
    <col min="12297" max="12298" width="7.625" customWidth="1"/>
    <col min="12299" max="12303" width="6.875" customWidth="1"/>
    <col min="12304" max="12304" width="7.5" customWidth="1"/>
    <col min="12305" max="12305" width="7.625" customWidth="1"/>
    <col min="12307" max="12307" width="28.75" customWidth="1"/>
    <col min="12309" max="12309" width="16.875" customWidth="1"/>
    <col min="12545" max="12546" width="5.375" customWidth="1"/>
    <col min="12547" max="12547" width="6.875" customWidth="1"/>
    <col min="12548" max="12548" width="12.375" customWidth="1"/>
    <col min="12549" max="12551" width="7.625" customWidth="1"/>
    <col min="12552" max="12552" width="15" customWidth="1"/>
    <col min="12553" max="12554" width="7.625" customWidth="1"/>
    <col min="12555" max="12559" width="6.875" customWidth="1"/>
    <col min="12560" max="12560" width="7.5" customWidth="1"/>
    <col min="12561" max="12561" width="7.625" customWidth="1"/>
    <col min="12563" max="12563" width="28.75" customWidth="1"/>
    <col min="12565" max="12565" width="16.875" customWidth="1"/>
    <col min="12801" max="12802" width="5.375" customWidth="1"/>
    <col min="12803" max="12803" width="6.875" customWidth="1"/>
    <col min="12804" max="12804" width="12.375" customWidth="1"/>
    <col min="12805" max="12807" width="7.625" customWidth="1"/>
    <col min="12808" max="12808" width="15" customWidth="1"/>
    <col min="12809" max="12810" width="7.625" customWidth="1"/>
    <col min="12811" max="12815" width="6.875" customWidth="1"/>
    <col min="12816" max="12816" width="7.5" customWidth="1"/>
    <col min="12817" max="12817" width="7.625" customWidth="1"/>
    <col min="12819" max="12819" width="28.75" customWidth="1"/>
    <col min="12821" max="12821" width="16.875" customWidth="1"/>
    <col min="13057" max="13058" width="5.375" customWidth="1"/>
    <col min="13059" max="13059" width="6.875" customWidth="1"/>
    <col min="13060" max="13060" width="12.375" customWidth="1"/>
    <col min="13061" max="13063" width="7.625" customWidth="1"/>
    <col min="13064" max="13064" width="15" customWidth="1"/>
    <col min="13065" max="13066" width="7.625" customWidth="1"/>
    <col min="13067" max="13071" width="6.875" customWidth="1"/>
    <col min="13072" max="13072" width="7.5" customWidth="1"/>
    <col min="13073" max="13073" width="7.625" customWidth="1"/>
    <col min="13075" max="13075" width="28.75" customWidth="1"/>
    <col min="13077" max="13077" width="16.875" customWidth="1"/>
    <col min="13313" max="13314" width="5.375" customWidth="1"/>
    <col min="13315" max="13315" width="6.875" customWidth="1"/>
    <col min="13316" max="13316" width="12.375" customWidth="1"/>
    <col min="13317" max="13319" width="7.625" customWidth="1"/>
    <col min="13320" max="13320" width="15" customWidth="1"/>
    <col min="13321" max="13322" width="7.625" customWidth="1"/>
    <col min="13323" max="13327" width="6.875" customWidth="1"/>
    <col min="13328" max="13328" width="7.5" customWidth="1"/>
    <col min="13329" max="13329" width="7.625" customWidth="1"/>
    <col min="13331" max="13331" width="28.75" customWidth="1"/>
    <col min="13333" max="13333" width="16.875" customWidth="1"/>
    <col min="13569" max="13570" width="5.375" customWidth="1"/>
    <col min="13571" max="13571" width="6.875" customWidth="1"/>
    <col min="13572" max="13572" width="12.375" customWidth="1"/>
    <col min="13573" max="13575" width="7.625" customWidth="1"/>
    <col min="13576" max="13576" width="15" customWidth="1"/>
    <col min="13577" max="13578" width="7.625" customWidth="1"/>
    <col min="13579" max="13583" width="6.875" customWidth="1"/>
    <col min="13584" max="13584" width="7.5" customWidth="1"/>
    <col min="13585" max="13585" width="7.625" customWidth="1"/>
    <col min="13587" max="13587" width="28.75" customWidth="1"/>
    <col min="13589" max="13589" width="16.875" customWidth="1"/>
    <col min="13825" max="13826" width="5.375" customWidth="1"/>
    <col min="13827" max="13827" width="6.875" customWidth="1"/>
    <col min="13828" max="13828" width="12.375" customWidth="1"/>
    <col min="13829" max="13831" width="7.625" customWidth="1"/>
    <col min="13832" max="13832" width="15" customWidth="1"/>
    <col min="13833" max="13834" width="7.625" customWidth="1"/>
    <col min="13835" max="13839" width="6.875" customWidth="1"/>
    <col min="13840" max="13840" width="7.5" customWidth="1"/>
    <col min="13841" max="13841" width="7.625" customWidth="1"/>
    <col min="13843" max="13843" width="28.75" customWidth="1"/>
    <col min="13845" max="13845" width="16.875" customWidth="1"/>
    <col min="14081" max="14082" width="5.375" customWidth="1"/>
    <col min="14083" max="14083" width="6.875" customWidth="1"/>
    <col min="14084" max="14084" width="12.375" customWidth="1"/>
    <col min="14085" max="14087" width="7.625" customWidth="1"/>
    <col min="14088" max="14088" width="15" customWidth="1"/>
    <col min="14089" max="14090" width="7.625" customWidth="1"/>
    <col min="14091" max="14095" width="6.875" customWidth="1"/>
    <col min="14096" max="14096" width="7.5" customWidth="1"/>
    <col min="14097" max="14097" width="7.625" customWidth="1"/>
    <col min="14099" max="14099" width="28.75" customWidth="1"/>
    <col min="14101" max="14101" width="16.875" customWidth="1"/>
    <col min="14337" max="14338" width="5.375" customWidth="1"/>
    <col min="14339" max="14339" width="6.875" customWidth="1"/>
    <col min="14340" max="14340" width="12.375" customWidth="1"/>
    <col min="14341" max="14343" width="7.625" customWidth="1"/>
    <col min="14344" max="14344" width="15" customWidth="1"/>
    <col min="14345" max="14346" width="7.625" customWidth="1"/>
    <col min="14347" max="14351" width="6.875" customWidth="1"/>
    <col min="14352" max="14352" width="7.5" customWidth="1"/>
    <col min="14353" max="14353" width="7.625" customWidth="1"/>
    <col min="14355" max="14355" width="28.75" customWidth="1"/>
    <col min="14357" max="14357" width="16.875" customWidth="1"/>
    <col min="14593" max="14594" width="5.375" customWidth="1"/>
    <col min="14595" max="14595" width="6.875" customWidth="1"/>
    <col min="14596" max="14596" width="12.375" customWidth="1"/>
    <col min="14597" max="14599" width="7.625" customWidth="1"/>
    <col min="14600" max="14600" width="15" customWidth="1"/>
    <col min="14601" max="14602" width="7.625" customWidth="1"/>
    <col min="14603" max="14607" width="6.875" customWidth="1"/>
    <col min="14608" max="14608" width="7.5" customWidth="1"/>
    <col min="14609" max="14609" width="7.625" customWidth="1"/>
    <col min="14611" max="14611" width="28.75" customWidth="1"/>
    <col min="14613" max="14613" width="16.875" customWidth="1"/>
    <col min="14849" max="14850" width="5.375" customWidth="1"/>
    <col min="14851" max="14851" width="6.875" customWidth="1"/>
    <col min="14852" max="14852" width="12.375" customWidth="1"/>
    <col min="14853" max="14855" width="7.625" customWidth="1"/>
    <col min="14856" max="14856" width="15" customWidth="1"/>
    <col min="14857" max="14858" width="7.625" customWidth="1"/>
    <col min="14859" max="14863" width="6.875" customWidth="1"/>
    <col min="14864" max="14864" width="7.5" customWidth="1"/>
    <col min="14865" max="14865" width="7.625" customWidth="1"/>
    <col min="14867" max="14867" width="28.75" customWidth="1"/>
    <col min="14869" max="14869" width="16.875" customWidth="1"/>
    <col min="15105" max="15106" width="5.375" customWidth="1"/>
    <col min="15107" max="15107" width="6.875" customWidth="1"/>
    <col min="15108" max="15108" width="12.375" customWidth="1"/>
    <col min="15109" max="15111" width="7.625" customWidth="1"/>
    <col min="15112" max="15112" width="15" customWidth="1"/>
    <col min="15113" max="15114" width="7.625" customWidth="1"/>
    <col min="15115" max="15119" width="6.875" customWidth="1"/>
    <col min="15120" max="15120" width="7.5" customWidth="1"/>
    <col min="15121" max="15121" width="7.625" customWidth="1"/>
    <col min="15123" max="15123" width="28.75" customWidth="1"/>
    <col min="15125" max="15125" width="16.875" customWidth="1"/>
    <col min="15361" max="15362" width="5.375" customWidth="1"/>
    <col min="15363" max="15363" width="6.875" customWidth="1"/>
    <col min="15364" max="15364" width="12.375" customWidth="1"/>
    <col min="15365" max="15367" width="7.625" customWidth="1"/>
    <col min="15368" max="15368" width="15" customWidth="1"/>
    <col min="15369" max="15370" width="7.625" customWidth="1"/>
    <col min="15371" max="15375" width="6.875" customWidth="1"/>
    <col min="15376" max="15376" width="7.5" customWidth="1"/>
    <col min="15377" max="15377" width="7.625" customWidth="1"/>
    <col min="15379" max="15379" width="28.75" customWidth="1"/>
    <col min="15381" max="15381" width="16.875" customWidth="1"/>
    <col min="15617" max="15618" width="5.375" customWidth="1"/>
    <col min="15619" max="15619" width="6.875" customWidth="1"/>
    <col min="15620" max="15620" width="12.375" customWidth="1"/>
    <col min="15621" max="15623" width="7.625" customWidth="1"/>
    <col min="15624" max="15624" width="15" customWidth="1"/>
    <col min="15625" max="15626" width="7.625" customWidth="1"/>
    <col min="15627" max="15631" width="6.875" customWidth="1"/>
    <col min="15632" max="15632" width="7.5" customWidth="1"/>
    <col min="15633" max="15633" width="7.625" customWidth="1"/>
    <col min="15635" max="15635" width="28.75" customWidth="1"/>
    <col min="15637" max="15637" width="16.875" customWidth="1"/>
    <col min="15873" max="15874" width="5.375" customWidth="1"/>
    <col min="15875" max="15875" width="6.875" customWidth="1"/>
    <col min="15876" max="15876" width="12.375" customWidth="1"/>
    <col min="15877" max="15879" width="7.625" customWidth="1"/>
    <col min="15880" max="15880" width="15" customWidth="1"/>
    <col min="15881" max="15882" width="7.625" customWidth="1"/>
    <col min="15883" max="15887" width="6.875" customWidth="1"/>
    <col min="15888" max="15888" width="7.5" customWidth="1"/>
    <col min="15889" max="15889" width="7.625" customWidth="1"/>
    <col min="15891" max="15891" width="28.75" customWidth="1"/>
    <col min="15893" max="15893" width="16.875" customWidth="1"/>
    <col min="16129" max="16130" width="5.375" customWidth="1"/>
    <col min="16131" max="16131" width="6.875" customWidth="1"/>
    <col min="16132" max="16132" width="12.375" customWidth="1"/>
    <col min="16133" max="16135" width="7.625" customWidth="1"/>
    <col min="16136" max="16136" width="15" customWidth="1"/>
    <col min="16137" max="16138" width="7.625" customWidth="1"/>
    <col min="16139" max="16143" width="6.875" customWidth="1"/>
    <col min="16144" max="16144" width="7.5" customWidth="1"/>
    <col min="16145" max="16145" width="7.625" customWidth="1"/>
    <col min="16147" max="16147" width="28.75" customWidth="1"/>
    <col min="16149" max="16149" width="16.875" customWidth="1"/>
  </cols>
  <sheetData>
    <row r="1" ht="19.5" customHeight="1" spans="1:17">
      <c r="A1" s="18" t="s">
        <v>107</v>
      </c>
      <c r="B1" s="18"/>
      <c r="C1" s="19"/>
      <c r="D1" s="19"/>
      <c r="E1" s="19"/>
      <c r="F1" s="19"/>
      <c r="G1" s="19"/>
      <c r="H1" s="19"/>
      <c r="I1" s="19"/>
      <c r="J1" s="19"/>
      <c r="K1" s="4"/>
      <c r="L1" s="4"/>
      <c r="M1" s="4"/>
      <c r="N1" s="4"/>
      <c r="O1" s="4"/>
      <c r="P1" s="4"/>
      <c r="Q1" s="19"/>
    </row>
    <row r="2" ht="37.5" customHeight="1" spans="1:17">
      <c r="A2" s="20" t="s">
        <v>108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37.5" customHeight="1" spans="1:17">
      <c r="A3" s="6" t="s">
        <v>2</v>
      </c>
      <c r="B3" s="6" t="s">
        <v>3</v>
      </c>
      <c r="C3" s="6" t="s">
        <v>96</v>
      </c>
      <c r="D3" s="6" t="s">
        <v>7</v>
      </c>
      <c r="E3" s="6" t="s">
        <v>97</v>
      </c>
      <c r="F3" s="6" t="s">
        <v>98</v>
      </c>
      <c r="G3" s="6" t="s">
        <v>99</v>
      </c>
      <c r="H3" s="6" t="s">
        <v>100</v>
      </c>
      <c r="I3" s="6" t="s">
        <v>101</v>
      </c>
      <c r="J3" s="6" t="s">
        <v>102</v>
      </c>
      <c r="K3" s="11" t="s">
        <v>15</v>
      </c>
      <c r="L3" s="11"/>
      <c r="M3" s="11"/>
      <c r="N3" s="11"/>
      <c r="O3" s="11"/>
      <c r="P3" s="12" t="s">
        <v>16</v>
      </c>
      <c r="Q3" s="6" t="s">
        <v>35</v>
      </c>
    </row>
    <row r="4" ht="37.5" customHeight="1" spans="1:17">
      <c r="A4" s="7"/>
      <c r="B4" s="7"/>
      <c r="C4" s="7"/>
      <c r="D4" s="7"/>
      <c r="E4" s="7"/>
      <c r="F4" s="7"/>
      <c r="G4" s="7"/>
      <c r="H4" s="7"/>
      <c r="I4" s="7"/>
      <c r="J4" s="7"/>
      <c r="K4" s="9" t="s">
        <v>18</v>
      </c>
      <c r="L4" s="9" t="s">
        <v>19</v>
      </c>
      <c r="M4" s="9" t="s">
        <v>20</v>
      </c>
      <c r="N4" s="9" t="s">
        <v>21</v>
      </c>
      <c r="O4" s="9" t="s">
        <v>22</v>
      </c>
      <c r="P4" s="13"/>
      <c r="Q4" s="7"/>
    </row>
    <row r="5" s="1" customFormat="1" ht="30" customHeight="1" spans="1:17">
      <c r="A5" s="8">
        <v>11</v>
      </c>
      <c r="B5" s="8" t="s">
        <v>23</v>
      </c>
      <c r="C5" s="8" t="s">
        <v>103</v>
      </c>
      <c r="D5" s="8" t="s">
        <v>109</v>
      </c>
      <c r="E5" s="21" t="s">
        <v>110</v>
      </c>
      <c r="F5" s="8">
        <v>0.2</v>
      </c>
      <c r="G5" s="8">
        <v>3.5</v>
      </c>
      <c r="H5" s="8">
        <f>F5*38</f>
        <v>7.6</v>
      </c>
      <c r="I5" s="8" t="s">
        <v>30</v>
      </c>
      <c r="J5" s="8" t="s">
        <v>31</v>
      </c>
      <c r="K5" s="8"/>
      <c r="L5" s="8"/>
      <c r="M5" s="8">
        <v>1</v>
      </c>
      <c r="N5" s="8"/>
      <c r="O5" s="8"/>
      <c r="P5" s="8">
        <f>H5*50%</f>
        <v>3.8</v>
      </c>
      <c r="Q5" s="8"/>
    </row>
    <row r="6" s="1" customFormat="1" ht="30" customHeight="1" spans="1:17">
      <c r="A6" s="8">
        <v>12</v>
      </c>
      <c r="B6" s="8" t="s">
        <v>23</v>
      </c>
      <c r="C6" s="8" t="s">
        <v>103</v>
      </c>
      <c r="D6" s="8" t="s">
        <v>111</v>
      </c>
      <c r="E6" s="21" t="s">
        <v>112</v>
      </c>
      <c r="F6" s="8">
        <v>2.1</v>
      </c>
      <c r="G6" s="8">
        <v>3.5</v>
      </c>
      <c r="H6" s="8">
        <f>F6*38</f>
        <v>79.8</v>
      </c>
      <c r="I6" s="8" t="s">
        <v>30</v>
      </c>
      <c r="J6" s="8" t="s">
        <v>31</v>
      </c>
      <c r="K6" s="8"/>
      <c r="L6" s="8"/>
      <c r="M6" s="8">
        <v>1</v>
      </c>
      <c r="N6" s="8"/>
      <c r="O6" s="8"/>
      <c r="P6" s="8">
        <f>H6*50%</f>
        <v>39.9</v>
      </c>
      <c r="Q6" s="8"/>
    </row>
    <row r="7" s="2" customFormat="1" ht="30" customHeight="1" spans="1:17">
      <c r="A7" s="22">
        <v>13</v>
      </c>
      <c r="B7" s="22" t="s">
        <v>23</v>
      </c>
      <c r="C7" s="22" t="s">
        <v>103</v>
      </c>
      <c r="D7" s="22" t="s">
        <v>113</v>
      </c>
      <c r="E7" s="23" t="s">
        <v>114</v>
      </c>
      <c r="F7" s="22">
        <v>1.1</v>
      </c>
      <c r="G7" s="22">
        <v>3.5</v>
      </c>
      <c r="H7" s="22">
        <f>F7*38</f>
        <v>41.8</v>
      </c>
      <c r="I7" s="22" t="s">
        <v>30</v>
      </c>
      <c r="J7" s="22" t="s">
        <v>31</v>
      </c>
      <c r="K7" s="9"/>
      <c r="L7" s="9"/>
      <c r="M7" s="15">
        <v>1</v>
      </c>
      <c r="N7" s="9"/>
      <c r="O7" s="9"/>
      <c r="P7" s="9">
        <f>H7*50%</f>
        <v>20.9</v>
      </c>
      <c r="Q7" s="22"/>
    </row>
    <row r="8" s="2" customFormat="1" ht="30" customHeight="1" spans="1:17">
      <c r="A8" s="22">
        <v>14</v>
      </c>
      <c r="B8" s="22" t="s">
        <v>23</v>
      </c>
      <c r="C8" s="22" t="s">
        <v>103</v>
      </c>
      <c r="D8" s="22" t="s">
        <v>115</v>
      </c>
      <c r="E8" s="23" t="s">
        <v>116</v>
      </c>
      <c r="F8" s="22">
        <v>0.9</v>
      </c>
      <c r="G8" s="22">
        <v>3.5</v>
      </c>
      <c r="H8" s="22">
        <f>F8*38</f>
        <v>34.2</v>
      </c>
      <c r="I8" s="22" t="s">
        <v>30</v>
      </c>
      <c r="J8" s="22" t="s">
        <v>31</v>
      </c>
      <c r="K8" s="9"/>
      <c r="L8" s="9"/>
      <c r="M8" s="15">
        <v>1</v>
      </c>
      <c r="N8" s="9"/>
      <c r="O8" s="9"/>
      <c r="P8" s="9">
        <f>H8*50%</f>
        <v>17.1</v>
      </c>
      <c r="Q8" s="22"/>
    </row>
    <row r="9" s="17" customFormat="1" ht="25.5" customHeight="1" spans="1:17">
      <c r="A9" s="24" t="s">
        <v>17</v>
      </c>
      <c r="B9" s="25"/>
      <c r="C9" s="26"/>
      <c r="D9" s="11"/>
      <c r="E9" s="27"/>
      <c r="F9" s="11">
        <f>SUM(F5:F8)</f>
        <v>4.3</v>
      </c>
      <c r="G9" s="11"/>
      <c r="H9" s="11">
        <f>SUM(H5:H8)</f>
        <v>163.4</v>
      </c>
      <c r="I9" s="11"/>
      <c r="J9" s="11"/>
      <c r="K9" s="16"/>
      <c r="L9" s="16"/>
      <c r="M9" s="16"/>
      <c r="N9" s="16"/>
      <c r="O9" s="16"/>
      <c r="P9" s="16">
        <f>SUM(P5:P8)</f>
        <v>81.7</v>
      </c>
      <c r="Q9" s="11"/>
    </row>
    <row r="10" ht="28.5" customHeight="1" spans="1:17">
      <c r="A10" s="28" t="s">
        <v>117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ht="20.1" customHeight="1" spans="1:16">
      <c r="A11" s="29" t="s">
        <v>118</v>
      </c>
      <c r="B11" s="29"/>
      <c r="H11" t="s">
        <v>119</v>
      </c>
      <c r="K11"/>
      <c r="L11"/>
      <c r="M11"/>
      <c r="N11"/>
      <c r="O11" t="s">
        <v>120</v>
      </c>
      <c r="P11"/>
    </row>
  </sheetData>
  <mergeCells count="18">
    <mergeCell ref="A1:B1"/>
    <mergeCell ref="A2:Q2"/>
    <mergeCell ref="K3:O3"/>
    <mergeCell ref="A9:C9"/>
    <mergeCell ref="A10:Q10"/>
    <mergeCell ref="A11:B1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P3:P4"/>
    <mergeCell ref="Q3:Q4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workbookViewId="0">
      <selection activeCell="A5" sqref="$A5:$XFD31"/>
    </sheetView>
  </sheetViews>
  <sheetFormatPr defaultColWidth="9" defaultRowHeight="14.25" outlineLevelRow="7"/>
  <cols>
    <col min="1" max="1" width="4.75" style="2" customWidth="1"/>
    <col min="2" max="2" width="5.625" style="2" customWidth="1"/>
    <col min="3" max="3" width="6.875" style="2" customWidth="1"/>
    <col min="4" max="4" width="14.625" style="2" customWidth="1"/>
    <col min="5" max="5" width="6.5" style="2" customWidth="1"/>
    <col min="6" max="8" width="7.75" style="2" customWidth="1"/>
    <col min="9" max="9" width="11.125" style="2" customWidth="1"/>
    <col min="10" max="10" width="8.625" style="2" customWidth="1"/>
    <col min="11" max="15" width="5.125" style="2" customWidth="1"/>
    <col min="16" max="16" width="7.375" style="2" customWidth="1"/>
    <col min="17" max="17" width="10.75" style="2" customWidth="1"/>
    <col min="18" max="256" width="9" style="2"/>
    <col min="257" max="257" width="4.75" style="2" customWidth="1"/>
    <col min="258" max="258" width="5.625" style="2" customWidth="1"/>
    <col min="259" max="259" width="6.875" style="2" customWidth="1"/>
    <col min="260" max="260" width="14.625" style="2" customWidth="1"/>
    <col min="261" max="261" width="6.5" style="2" customWidth="1"/>
    <col min="262" max="264" width="7.75" style="2" customWidth="1"/>
    <col min="265" max="265" width="11.125" style="2" customWidth="1"/>
    <col min="266" max="266" width="8.625" style="2" customWidth="1"/>
    <col min="267" max="271" width="5.125" style="2" customWidth="1"/>
    <col min="272" max="272" width="7.375" style="2" customWidth="1"/>
    <col min="273" max="273" width="10.75" style="2" customWidth="1"/>
    <col min="274" max="512" width="9" style="2"/>
    <col min="513" max="513" width="4.75" style="2" customWidth="1"/>
    <col min="514" max="514" width="5.625" style="2" customWidth="1"/>
    <col min="515" max="515" width="6.875" style="2" customWidth="1"/>
    <col min="516" max="516" width="14.625" style="2" customWidth="1"/>
    <col min="517" max="517" width="6.5" style="2" customWidth="1"/>
    <col min="518" max="520" width="7.75" style="2" customWidth="1"/>
    <col min="521" max="521" width="11.125" style="2" customWidth="1"/>
    <col min="522" max="522" width="8.625" style="2" customWidth="1"/>
    <col min="523" max="527" width="5.125" style="2" customWidth="1"/>
    <col min="528" max="528" width="7.375" style="2" customWidth="1"/>
    <col min="529" max="529" width="10.75" style="2" customWidth="1"/>
    <col min="530" max="768" width="9" style="2"/>
    <col min="769" max="769" width="4.75" style="2" customWidth="1"/>
    <col min="770" max="770" width="5.625" style="2" customWidth="1"/>
    <col min="771" max="771" width="6.875" style="2" customWidth="1"/>
    <col min="772" max="772" width="14.625" style="2" customWidth="1"/>
    <col min="773" max="773" width="6.5" style="2" customWidth="1"/>
    <col min="774" max="776" width="7.75" style="2" customWidth="1"/>
    <col min="777" max="777" width="11.125" style="2" customWidth="1"/>
    <col min="778" max="778" width="8.625" style="2" customWidth="1"/>
    <col min="779" max="783" width="5.125" style="2" customWidth="1"/>
    <col min="784" max="784" width="7.375" style="2" customWidth="1"/>
    <col min="785" max="785" width="10.75" style="2" customWidth="1"/>
    <col min="786" max="1024" width="9" style="2"/>
    <col min="1025" max="1025" width="4.75" style="2" customWidth="1"/>
    <col min="1026" max="1026" width="5.625" style="2" customWidth="1"/>
    <col min="1027" max="1027" width="6.875" style="2" customWidth="1"/>
    <col min="1028" max="1028" width="14.625" style="2" customWidth="1"/>
    <col min="1029" max="1029" width="6.5" style="2" customWidth="1"/>
    <col min="1030" max="1032" width="7.75" style="2" customWidth="1"/>
    <col min="1033" max="1033" width="11.125" style="2" customWidth="1"/>
    <col min="1034" max="1034" width="8.625" style="2" customWidth="1"/>
    <col min="1035" max="1039" width="5.125" style="2" customWidth="1"/>
    <col min="1040" max="1040" width="7.375" style="2" customWidth="1"/>
    <col min="1041" max="1041" width="10.75" style="2" customWidth="1"/>
    <col min="1042" max="1280" width="9" style="2"/>
    <col min="1281" max="1281" width="4.75" style="2" customWidth="1"/>
    <col min="1282" max="1282" width="5.625" style="2" customWidth="1"/>
    <col min="1283" max="1283" width="6.875" style="2" customWidth="1"/>
    <col min="1284" max="1284" width="14.625" style="2" customWidth="1"/>
    <col min="1285" max="1285" width="6.5" style="2" customWidth="1"/>
    <col min="1286" max="1288" width="7.75" style="2" customWidth="1"/>
    <col min="1289" max="1289" width="11.125" style="2" customWidth="1"/>
    <col min="1290" max="1290" width="8.625" style="2" customWidth="1"/>
    <col min="1291" max="1295" width="5.125" style="2" customWidth="1"/>
    <col min="1296" max="1296" width="7.375" style="2" customWidth="1"/>
    <col min="1297" max="1297" width="10.75" style="2" customWidth="1"/>
    <col min="1298" max="1536" width="9" style="2"/>
    <col min="1537" max="1537" width="4.75" style="2" customWidth="1"/>
    <col min="1538" max="1538" width="5.625" style="2" customWidth="1"/>
    <col min="1539" max="1539" width="6.875" style="2" customWidth="1"/>
    <col min="1540" max="1540" width="14.625" style="2" customWidth="1"/>
    <col min="1541" max="1541" width="6.5" style="2" customWidth="1"/>
    <col min="1542" max="1544" width="7.75" style="2" customWidth="1"/>
    <col min="1545" max="1545" width="11.125" style="2" customWidth="1"/>
    <col min="1546" max="1546" width="8.625" style="2" customWidth="1"/>
    <col min="1547" max="1551" width="5.125" style="2" customWidth="1"/>
    <col min="1552" max="1552" width="7.375" style="2" customWidth="1"/>
    <col min="1553" max="1553" width="10.75" style="2" customWidth="1"/>
    <col min="1554" max="1792" width="9" style="2"/>
    <col min="1793" max="1793" width="4.75" style="2" customWidth="1"/>
    <col min="1794" max="1794" width="5.625" style="2" customWidth="1"/>
    <col min="1795" max="1795" width="6.875" style="2" customWidth="1"/>
    <col min="1796" max="1796" width="14.625" style="2" customWidth="1"/>
    <col min="1797" max="1797" width="6.5" style="2" customWidth="1"/>
    <col min="1798" max="1800" width="7.75" style="2" customWidth="1"/>
    <col min="1801" max="1801" width="11.125" style="2" customWidth="1"/>
    <col min="1802" max="1802" width="8.625" style="2" customWidth="1"/>
    <col min="1803" max="1807" width="5.125" style="2" customWidth="1"/>
    <col min="1808" max="1808" width="7.375" style="2" customWidth="1"/>
    <col min="1809" max="1809" width="10.75" style="2" customWidth="1"/>
    <col min="1810" max="2048" width="9" style="2"/>
    <col min="2049" max="2049" width="4.75" style="2" customWidth="1"/>
    <col min="2050" max="2050" width="5.625" style="2" customWidth="1"/>
    <col min="2051" max="2051" width="6.875" style="2" customWidth="1"/>
    <col min="2052" max="2052" width="14.625" style="2" customWidth="1"/>
    <col min="2053" max="2053" width="6.5" style="2" customWidth="1"/>
    <col min="2054" max="2056" width="7.75" style="2" customWidth="1"/>
    <col min="2057" max="2057" width="11.125" style="2" customWidth="1"/>
    <col min="2058" max="2058" width="8.625" style="2" customWidth="1"/>
    <col min="2059" max="2063" width="5.125" style="2" customWidth="1"/>
    <col min="2064" max="2064" width="7.375" style="2" customWidth="1"/>
    <col min="2065" max="2065" width="10.75" style="2" customWidth="1"/>
    <col min="2066" max="2304" width="9" style="2"/>
    <col min="2305" max="2305" width="4.75" style="2" customWidth="1"/>
    <col min="2306" max="2306" width="5.625" style="2" customWidth="1"/>
    <col min="2307" max="2307" width="6.875" style="2" customWidth="1"/>
    <col min="2308" max="2308" width="14.625" style="2" customWidth="1"/>
    <col min="2309" max="2309" width="6.5" style="2" customWidth="1"/>
    <col min="2310" max="2312" width="7.75" style="2" customWidth="1"/>
    <col min="2313" max="2313" width="11.125" style="2" customWidth="1"/>
    <col min="2314" max="2314" width="8.625" style="2" customWidth="1"/>
    <col min="2315" max="2319" width="5.125" style="2" customWidth="1"/>
    <col min="2320" max="2320" width="7.375" style="2" customWidth="1"/>
    <col min="2321" max="2321" width="10.75" style="2" customWidth="1"/>
    <col min="2322" max="2560" width="9" style="2"/>
    <col min="2561" max="2561" width="4.75" style="2" customWidth="1"/>
    <col min="2562" max="2562" width="5.625" style="2" customWidth="1"/>
    <col min="2563" max="2563" width="6.875" style="2" customWidth="1"/>
    <col min="2564" max="2564" width="14.625" style="2" customWidth="1"/>
    <col min="2565" max="2565" width="6.5" style="2" customWidth="1"/>
    <col min="2566" max="2568" width="7.75" style="2" customWidth="1"/>
    <col min="2569" max="2569" width="11.125" style="2" customWidth="1"/>
    <col min="2570" max="2570" width="8.625" style="2" customWidth="1"/>
    <col min="2571" max="2575" width="5.125" style="2" customWidth="1"/>
    <col min="2576" max="2576" width="7.375" style="2" customWidth="1"/>
    <col min="2577" max="2577" width="10.75" style="2" customWidth="1"/>
    <col min="2578" max="2816" width="9" style="2"/>
    <col min="2817" max="2817" width="4.75" style="2" customWidth="1"/>
    <col min="2818" max="2818" width="5.625" style="2" customWidth="1"/>
    <col min="2819" max="2819" width="6.875" style="2" customWidth="1"/>
    <col min="2820" max="2820" width="14.625" style="2" customWidth="1"/>
    <col min="2821" max="2821" width="6.5" style="2" customWidth="1"/>
    <col min="2822" max="2824" width="7.75" style="2" customWidth="1"/>
    <col min="2825" max="2825" width="11.125" style="2" customWidth="1"/>
    <col min="2826" max="2826" width="8.625" style="2" customWidth="1"/>
    <col min="2827" max="2831" width="5.125" style="2" customWidth="1"/>
    <col min="2832" max="2832" width="7.375" style="2" customWidth="1"/>
    <col min="2833" max="2833" width="10.75" style="2" customWidth="1"/>
    <col min="2834" max="3072" width="9" style="2"/>
    <col min="3073" max="3073" width="4.75" style="2" customWidth="1"/>
    <col min="3074" max="3074" width="5.625" style="2" customWidth="1"/>
    <col min="3075" max="3075" width="6.875" style="2" customWidth="1"/>
    <col min="3076" max="3076" width="14.625" style="2" customWidth="1"/>
    <col min="3077" max="3077" width="6.5" style="2" customWidth="1"/>
    <col min="3078" max="3080" width="7.75" style="2" customWidth="1"/>
    <col min="3081" max="3081" width="11.125" style="2" customWidth="1"/>
    <col min="3082" max="3082" width="8.625" style="2" customWidth="1"/>
    <col min="3083" max="3087" width="5.125" style="2" customWidth="1"/>
    <col min="3088" max="3088" width="7.375" style="2" customWidth="1"/>
    <col min="3089" max="3089" width="10.75" style="2" customWidth="1"/>
    <col min="3090" max="3328" width="9" style="2"/>
    <col min="3329" max="3329" width="4.75" style="2" customWidth="1"/>
    <col min="3330" max="3330" width="5.625" style="2" customWidth="1"/>
    <col min="3331" max="3331" width="6.875" style="2" customWidth="1"/>
    <col min="3332" max="3332" width="14.625" style="2" customWidth="1"/>
    <col min="3333" max="3333" width="6.5" style="2" customWidth="1"/>
    <col min="3334" max="3336" width="7.75" style="2" customWidth="1"/>
    <col min="3337" max="3337" width="11.125" style="2" customWidth="1"/>
    <col min="3338" max="3338" width="8.625" style="2" customWidth="1"/>
    <col min="3339" max="3343" width="5.125" style="2" customWidth="1"/>
    <col min="3344" max="3344" width="7.375" style="2" customWidth="1"/>
    <col min="3345" max="3345" width="10.75" style="2" customWidth="1"/>
    <col min="3346" max="3584" width="9" style="2"/>
    <col min="3585" max="3585" width="4.75" style="2" customWidth="1"/>
    <col min="3586" max="3586" width="5.625" style="2" customWidth="1"/>
    <col min="3587" max="3587" width="6.875" style="2" customWidth="1"/>
    <col min="3588" max="3588" width="14.625" style="2" customWidth="1"/>
    <col min="3589" max="3589" width="6.5" style="2" customWidth="1"/>
    <col min="3590" max="3592" width="7.75" style="2" customWidth="1"/>
    <col min="3593" max="3593" width="11.125" style="2" customWidth="1"/>
    <col min="3594" max="3594" width="8.625" style="2" customWidth="1"/>
    <col min="3595" max="3599" width="5.125" style="2" customWidth="1"/>
    <col min="3600" max="3600" width="7.375" style="2" customWidth="1"/>
    <col min="3601" max="3601" width="10.75" style="2" customWidth="1"/>
    <col min="3602" max="3840" width="9" style="2"/>
    <col min="3841" max="3841" width="4.75" style="2" customWidth="1"/>
    <col min="3842" max="3842" width="5.625" style="2" customWidth="1"/>
    <col min="3843" max="3843" width="6.875" style="2" customWidth="1"/>
    <col min="3844" max="3844" width="14.625" style="2" customWidth="1"/>
    <col min="3845" max="3845" width="6.5" style="2" customWidth="1"/>
    <col min="3846" max="3848" width="7.75" style="2" customWidth="1"/>
    <col min="3849" max="3849" width="11.125" style="2" customWidth="1"/>
    <col min="3850" max="3850" width="8.625" style="2" customWidth="1"/>
    <col min="3851" max="3855" width="5.125" style="2" customWidth="1"/>
    <col min="3856" max="3856" width="7.375" style="2" customWidth="1"/>
    <col min="3857" max="3857" width="10.75" style="2" customWidth="1"/>
    <col min="3858" max="4096" width="9" style="2"/>
    <col min="4097" max="4097" width="4.75" style="2" customWidth="1"/>
    <col min="4098" max="4098" width="5.625" style="2" customWidth="1"/>
    <col min="4099" max="4099" width="6.875" style="2" customWidth="1"/>
    <col min="4100" max="4100" width="14.625" style="2" customWidth="1"/>
    <col min="4101" max="4101" width="6.5" style="2" customWidth="1"/>
    <col min="4102" max="4104" width="7.75" style="2" customWidth="1"/>
    <col min="4105" max="4105" width="11.125" style="2" customWidth="1"/>
    <col min="4106" max="4106" width="8.625" style="2" customWidth="1"/>
    <col min="4107" max="4111" width="5.125" style="2" customWidth="1"/>
    <col min="4112" max="4112" width="7.375" style="2" customWidth="1"/>
    <col min="4113" max="4113" width="10.75" style="2" customWidth="1"/>
    <col min="4114" max="4352" width="9" style="2"/>
    <col min="4353" max="4353" width="4.75" style="2" customWidth="1"/>
    <col min="4354" max="4354" width="5.625" style="2" customWidth="1"/>
    <col min="4355" max="4355" width="6.875" style="2" customWidth="1"/>
    <col min="4356" max="4356" width="14.625" style="2" customWidth="1"/>
    <col min="4357" max="4357" width="6.5" style="2" customWidth="1"/>
    <col min="4358" max="4360" width="7.75" style="2" customWidth="1"/>
    <col min="4361" max="4361" width="11.125" style="2" customWidth="1"/>
    <col min="4362" max="4362" width="8.625" style="2" customWidth="1"/>
    <col min="4363" max="4367" width="5.125" style="2" customWidth="1"/>
    <col min="4368" max="4368" width="7.375" style="2" customWidth="1"/>
    <col min="4369" max="4369" width="10.75" style="2" customWidth="1"/>
    <col min="4370" max="4608" width="9" style="2"/>
    <col min="4609" max="4609" width="4.75" style="2" customWidth="1"/>
    <col min="4610" max="4610" width="5.625" style="2" customWidth="1"/>
    <col min="4611" max="4611" width="6.875" style="2" customWidth="1"/>
    <col min="4612" max="4612" width="14.625" style="2" customWidth="1"/>
    <col min="4613" max="4613" width="6.5" style="2" customWidth="1"/>
    <col min="4614" max="4616" width="7.75" style="2" customWidth="1"/>
    <col min="4617" max="4617" width="11.125" style="2" customWidth="1"/>
    <col min="4618" max="4618" width="8.625" style="2" customWidth="1"/>
    <col min="4619" max="4623" width="5.125" style="2" customWidth="1"/>
    <col min="4624" max="4624" width="7.375" style="2" customWidth="1"/>
    <col min="4625" max="4625" width="10.75" style="2" customWidth="1"/>
    <col min="4626" max="4864" width="9" style="2"/>
    <col min="4865" max="4865" width="4.75" style="2" customWidth="1"/>
    <col min="4866" max="4866" width="5.625" style="2" customWidth="1"/>
    <col min="4867" max="4867" width="6.875" style="2" customWidth="1"/>
    <col min="4868" max="4868" width="14.625" style="2" customWidth="1"/>
    <col min="4869" max="4869" width="6.5" style="2" customWidth="1"/>
    <col min="4870" max="4872" width="7.75" style="2" customWidth="1"/>
    <col min="4873" max="4873" width="11.125" style="2" customWidth="1"/>
    <col min="4874" max="4874" width="8.625" style="2" customWidth="1"/>
    <col min="4875" max="4879" width="5.125" style="2" customWidth="1"/>
    <col min="4880" max="4880" width="7.375" style="2" customWidth="1"/>
    <col min="4881" max="4881" width="10.75" style="2" customWidth="1"/>
    <col min="4882" max="5120" width="9" style="2"/>
    <col min="5121" max="5121" width="4.75" style="2" customWidth="1"/>
    <col min="5122" max="5122" width="5.625" style="2" customWidth="1"/>
    <col min="5123" max="5123" width="6.875" style="2" customWidth="1"/>
    <col min="5124" max="5124" width="14.625" style="2" customWidth="1"/>
    <col min="5125" max="5125" width="6.5" style="2" customWidth="1"/>
    <col min="5126" max="5128" width="7.75" style="2" customWidth="1"/>
    <col min="5129" max="5129" width="11.125" style="2" customWidth="1"/>
    <col min="5130" max="5130" width="8.625" style="2" customWidth="1"/>
    <col min="5131" max="5135" width="5.125" style="2" customWidth="1"/>
    <col min="5136" max="5136" width="7.375" style="2" customWidth="1"/>
    <col min="5137" max="5137" width="10.75" style="2" customWidth="1"/>
    <col min="5138" max="5376" width="9" style="2"/>
    <col min="5377" max="5377" width="4.75" style="2" customWidth="1"/>
    <col min="5378" max="5378" width="5.625" style="2" customWidth="1"/>
    <col min="5379" max="5379" width="6.875" style="2" customWidth="1"/>
    <col min="5380" max="5380" width="14.625" style="2" customWidth="1"/>
    <col min="5381" max="5381" width="6.5" style="2" customWidth="1"/>
    <col min="5382" max="5384" width="7.75" style="2" customWidth="1"/>
    <col min="5385" max="5385" width="11.125" style="2" customWidth="1"/>
    <col min="5386" max="5386" width="8.625" style="2" customWidth="1"/>
    <col min="5387" max="5391" width="5.125" style="2" customWidth="1"/>
    <col min="5392" max="5392" width="7.375" style="2" customWidth="1"/>
    <col min="5393" max="5393" width="10.75" style="2" customWidth="1"/>
    <col min="5394" max="5632" width="9" style="2"/>
    <col min="5633" max="5633" width="4.75" style="2" customWidth="1"/>
    <col min="5634" max="5634" width="5.625" style="2" customWidth="1"/>
    <col min="5635" max="5635" width="6.875" style="2" customWidth="1"/>
    <col min="5636" max="5636" width="14.625" style="2" customWidth="1"/>
    <col min="5637" max="5637" width="6.5" style="2" customWidth="1"/>
    <col min="5638" max="5640" width="7.75" style="2" customWidth="1"/>
    <col min="5641" max="5641" width="11.125" style="2" customWidth="1"/>
    <col min="5642" max="5642" width="8.625" style="2" customWidth="1"/>
    <col min="5643" max="5647" width="5.125" style="2" customWidth="1"/>
    <col min="5648" max="5648" width="7.375" style="2" customWidth="1"/>
    <col min="5649" max="5649" width="10.75" style="2" customWidth="1"/>
    <col min="5650" max="5888" width="9" style="2"/>
    <col min="5889" max="5889" width="4.75" style="2" customWidth="1"/>
    <col min="5890" max="5890" width="5.625" style="2" customWidth="1"/>
    <col min="5891" max="5891" width="6.875" style="2" customWidth="1"/>
    <col min="5892" max="5892" width="14.625" style="2" customWidth="1"/>
    <col min="5893" max="5893" width="6.5" style="2" customWidth="1"/>
    <col min="5894" max="5896" width="7.75" style="2" customWidth="1"/>
    <col min="5897" max="5897" width="11.125" style="2" customWidth="1"/>
    <col min="5898" max="5898" width="8.625" style="2" customWidth="1"/>
    <col min="5899" max="5903" width="5.125" style="2" customWidth="1"/>
    <col min="5904" max="5904" width="7.375" style="2" customWidth="1"/>
    <col min="5905" max="5905" width="10.75" style="2" customWidth="1"/>
    <col min="5906" max="6144" width="9" style="2"/>
    <col min="6145" max="6145" width="4.75" style="2" customWidth="1"/>
    <col min="6146" max="6146" width="5.625" style="2" customWidth="1"/>
    <col min="6147" max="6147" width="6.875" style="2" customWidth="1"/>
    <col min="6148" max="6148" width="14.625" style="2" customWidth="1"/>
    <col min="6149" max="6149" width="6.5" style="2" customWidth="1"/>
    <col min="6150" max="6152" width="7.75" style="2" customWidth="1"/>
    <col min="6153" max="6153" width="11.125" style="2" customWidth="1"/>
    <col min="6154" max="6154" width="8.625" style="2" customWidth="1"/>
    <col min="6155" max="6159" width="5.125" style="2" customWidth="1"/>
    <col min="6160" max="6160" width="7.375" style="2" customWidth="1"/>
    <col min="6161" max="6161" width="10.75" style="2" customWidth="1"/>
    <col min="6162" max="6400" width="9" style="2"/>
    <col min="6401" max="6401" width="4.75" style="2" customWidth="1"/>
    <col min="6402" max="6402" width="5.625" style="2" customWidth="1"/>
    <col min="6403" max="6403" width="6.875" style="2" customWidth="1"/>
    <col min="6404" max="6404" width="14.625" style="2" customWidth="1"/>
    <col min="6405" max="6405" width="6.5" style="2" customWidth="1"/>
    <col min="6406" max="6408" width="7.75" style="2" customWidth="1"/>
    <col min="6409" max="6409" width="11.125" style="2" customWidth="1"/>
    <col min="6410" max="6410" width="8.625" style="2" customWidth="1"/>
    <col min="6411" max="6415" width="5.125" style="2" customWidth="1"/>
    <col min="6416" max="6416" width="7.375" style="2" customWidth="1"/>
    <col min="6417" max="6417" width="10.75" style="2" customWidth="1"/>
    <col min="6418" max="6656" width="9" style="2"/>
    <col min="6657" max="6657" width="4.75" style="2" customWidth="1"/>
    <col min="6658" max="6658" width="5.625" style="2" customWidth="1"/>
    <col min="6659" max="6659" width="6.875" style="2" customWidth="1"/>
    <col min="6660" max="6660" width="14.625" style="2" customWidth="1"/>
    <col min="6661" max="6661" width="6.5" style="2" customWidth="1"/>
    <col min="6662" max="6664" width="7.75" style="2" customWidth="1"/>
    <col min="6665" max="6665" width="11.125" style="2" customWidth="1"/>
    <col min="6666" max="6666" width="8.625" style="2" customWidth="1"/>
    <col min="6667" max="6671" width="5.125" style="2" customWidth="1"/>
    <col min="6672" max="6672" width="7.375" style="2" customWidth="1"/>
    <col min="6673" max="6673" width="10.75" style="2" customWidth="1"/>
    <col min="6674" max="6912" width="9" style="2"/>
    <col min="6913" max="6913" width="4.75" style="2" customWidth="1"/>
    <col min="6914" max="6914" width="5.625" style="2" customWidth="1"/>
    <col min="6915" max="6915" width="6.875" style="2" customWidth="1"/>
    <col min="6916" max="6916" width="14.625" style="2" customWidth="1"/>
    <col min="6917" max="6917" width="6.5" style="2" customWidth="1"/>
    <col min="6918" max="6920" width="7.75" style="2" customWidth="1"/>
    <col min="6921" max="6921" width="11.125" style="2" customWidth="1"/>
    <col min="6922" max="6922" width="8.625" style="2" customWidth="1"/>
    <col min="6923" max="6927" width="5.125" style="2" customWidth="1"/>
    <col min="6928" max="6928" width="7.375" style="2" customWidth="1"/>
    <col min="6929" max="6929" width="10.75" style="2" customWidth="1"/>
    <col min="6930" max="7168" width="9" style="2"/>
    <col min="7169" max="7169" width="4.75" style="2" customWidth="1"/>
    <col min="7170" max="7170" width="5.625" style="2" customWidth="1"/>
    <col min="7171" max="7171" width="6.875" style="2" customWidth="1"/>
    <col min="7172" max="7172" width="14.625" style="2" customWidth="1"/>
    <col min="7173" max="7173" width="6.5" style="2" customWidth="1"/>
    <col min="7174" max="7176" width="7.75" style="2" customWidth="1"/>
    <col min="7177" max="7177" width="11.125" style="2" customWidth="1"/>
    <col min="7178" max="7178" width="8.625" style="2" customWidth="1"/>
    <col min="7179" max="7183" width="5.125" style="2" customWidth="1"/>
    <col min="7184" max="7184" width="7.375" style="2" customWidth="1"/>
    <col min="7185" max="7185" width="10.75" style="2" customWidth="1"/>
    <col min="7186" max="7424" width="9" style="2"/>
    <col min="7425" max="7425" width="4.75" style="2" customWidth="1"/>
    <col min="7426" max="7426" width="5.625" style="2" customWidth="1"/>
    <col min="7427" max="7427" width="6.875" style="2" customWidth="1"/>
    <col min="7428" max="7428" width="14.625" style="2" customWidth="1"/>
    <col min="7429" max="7429" width="6.5" style="2" customWidth="1"/>
    <col min="7430" max="7432" width="7.75" style="2" customWidth="1"/>
    <col min="7433" max="7433" width="11.125" style="2" customWidth="1"/>
    <col min="7434" max="7434" width="8.625" style="2" customWidth="1"/>
    <col min="7435" max="7439" width="5.125" style="2" customWidth="1"/>
    <col min="7440" max="7440" width="7.375" style="2" customWidth="1"/>
    <col min="7441" max="7441" width="10.75" style="2" customWidth="1"/>
    <col min="7442" max="7680" width="9" style="2"/>
    <col min="7681" max="7681" width="4.75" style="2" customWidth="1"/>
    <col min="7682" max="7682" width="5.625" style="2" customWidth="1"/>
    <col min="7683" max="7683" width="6.875" style="2" customWidth="1"/>
    <col min="7684" max="7684" width="14.625" style="2" customWidth="1"/>
    <col min="7685" max="7685" width="6.5" style="2" customWidth="1"/>
    <col min="7686" max="7688" width="7.75" style="2" customWidth="1"/>
    <col min="7689" max="7689" width="11.125" style="2" customWidth="1"/>
    <col min="7690" max="7690" width="8.625" style="2" customWidth="1"/>
    <col min="7691" max="7695" width="5.125" style="2" customWidth="1"/>
    <col min="7696" max="7696" width="7.375" style="2" customWidth="1"/>
    <col min="7697" max="7697" width="10.75" style="2" customWidth="1"/>
    <col min="7698" max="7936" width="9" style="2"/>
    <col min="7937" max="7937" width="4.75" style="2" customWidth="1"/>
    <col min="7938" max="7938" width="5.625" style="2" customWidth="1"/>
    <col min="7939" max="7939" width="6.875" style="2" customWidth="1"/>
    <col min="7940" max="7940" width="14.625" style="2" customWidth="1"/>
    <col min="7941" max="7941" width="6.5" style="2" customWidth="1"/>
    <col min="7942" max="7944" width="7.75" style="2" customWidth="1"/>
    <col min="7945" max="7945" width="11.125" style="2" customWidth="1"/>
    <col min="7946" max="7946" width="8.625" style="2" customWidth="1"/>
    <col min="7947" max="7951" width="5.125" style="2" customWidth="1"/>
    <col min="7952" max="7952" width="7.375" style="2" customWidth="1"/>
    <col min="7953" max="7953" width="10.75" style="2" customWidth="1"/>
    <col min="7954" max="8192" width="9" style="2"/>
    <col min="8193" max="8193" width="4.75" style="2" customWidth="1"/>
    <col min="8194" max="8194" width="5.625" style="2" customWidth="1"/>
    <col min="8195" max="8195" width="6.875" style="2" customWidth="1"/>
    <col min="8196" max="8196" width="14.625" style="2" customWidth="1"/>
    <col min="8197" max="8197" width="6.5" style="2" customWidth="1"/>
    <col min="8198" max="8200" width="7.75" style="2" customWidth="1"/>
    <col min="8201" max="8201" width="11.125" style="2" customWidth="1"/>
    <col min="8202" max="8202" width="8.625" style="2" customWidth="1"/>
    <col min="8203" max="8207" width="5.125" style="2" customWidth="1"/>
    <col min="8208" max="8208" width="7.375" style="2" customWidth="1"/>
    <col min="8209" max="8209" width="10.75" style="2" customWidth="1"/>
    <col min="8210" max="8448" width="9" style="2"/>
    <col min="8449" max="8449" width="4.75" style="2" customWidth="1"/>
    <col min="8450" max="8450" width="5.625" style="2" customWidth="1"/>
    <col min="8451" max="8451" width="6.875" style="2" customWidth="1"/>
    <col min="8452" max="8452" width="14.625" style="2" customWidth="1"/>
    <col min="8453" max="8453" width="6.5" style="2" customWidth="1"/>
    <col min="8454" max="8456" width="7.75" style="2" customWidth="1"/>
    <col min="8457" max="8457" width="11.125" style="2" customWidth="1"/>
    <col min="8458" max="8458" width="8.625" style="2" customWidth="1"/>
    <col min="8459" max="8463" width="5.125" style="2" customWidth="1"/>
    <col min="8464" max="8464" width="7.375" style="2" customWidth="1"/>
    <col min="8465" max="8465" width="10.75" style="2" customWidth="1"/>
    <col min="8466" max="8704" width="9" style="2"/>
    <col min="8705" max="8705" width="4.75" style="2" customWidth="1"/>
    <col min="8706" max="8706" width="5.625" style="2" customWidth="1"/>
    <col min="8707" max="8707" width="6.875" style="2" customWidth="1"/>
    <col min="8708" max="8708" width="14.625" style="2" customWidth="1"/>
    <col min="8709" max="8709" width="6.5" style="2" customWidth="1"/>
    <col min="8710" max="8712" width="7.75" style="2" customWidth="1"/>
    <col min="8713" max="8713" width="11.125" style="2" customWidth="1"/>
    <col min="8714" max="8714" width="8.625" style="2" customWidth="1"/>
    <col min="8715" max="8719" width="5.125" style="2" customWidth="1"/>
    <col min="8720" max="8720" width="7.375" style="2" customWidth="1"/>
    <col min="8721" max="8721" width="10.75" style="2" customWidth="1"/>
    <col min="8722" max="8960" width="9" style="2"/>
    <col min="8961" max="8961" width="4.75" style="2" customWidth="1"/>
    <col min="8962" max="8962" width="5.625" style="2" customWidth="1"/>
    <col min="8963" max="8963" width="6.875" style="2" customWidth="1"/>
    <col min="8964" max="8964" width="14.625" style="2" customWidth="1"/>
    <col min="8965" max="8965" width="6.5" style="2" customWidth="1"/>
    <col min="8966" max="8968" width="7.75" style="2" customWidth="1"/>
    <col min="8969" max="8969" width="11.125" style="2" customWidth="1"/>
    <col min="8970" max="8970" width="8.625" style="2" customWidth="1"/>
    <col min="8971" max="8975" width="5.125" style="2" customWidth="1"/>
    <col min="8976" max="8976" width="7.375" style="2" customWidth="1"/>
    <col min="8977" max="8977" width="10.75" style="2" customWidth="1"/>
    <col min="8978" max="9216" width="9" style="2"/>
    <col min="9217" max="9217" width="4.75" style="2" customWidth="1"/>
    <col min="9218" max="9218" width="5.625" style="2" customWidth="1"/>
    <col min="9219" max="9219" width="6.875" style="2" customWidth="1"/>
    <col min="9220" max="9220" width="14.625" style="2" customWidth="1"/>
    <col min="9221" max="9221" width="6.5" style="2" customWidth="1"/>
    <col min="9222" max="9224" width="7.75" style="2" customWidth="1"/>
    <col min="9225" max="9225" width="11.125" style="2" customWidth="1"/>
    <col min="9226" max="9226" width="8.625" style="2" customWidth="1"/>
    <col min="9227" max="9231" width="5.125" style="2" customWidth="1"/>
    <col min="9232" max="9232" width="7.375" style="2" customWidth="1"/>
    <col min="9233" max="9233" width="10.75" style="2" customWidth="1"/>
    <col min="9234" max="9472" width="9" style="2"/>
    <col min="9473" max="9473" width="4.75" style="2" customWidth="1"/>
    <col min="9474" max="9474" width="5.625" style="2" customWidth="1"/>
    <col min="9475" max="9475" width="6.875" style="2" customWidth="1"/>
    <col min="9476" max="9476" width="14.625" style="2" customWidth="1"/>
    <col min="9477" max="9477" width="6.5" style="2" customWidth="1"/>
    <col min="9478" max="9480" width="7.75" style="2" customWidth="1"/>
    <col min="9481" max="9481" width="11.125" style="2" customWidth="1"/>
    <col min="9482" max="9482" width="8.625" style="2" customWidth="1"/>
    <col min="9483" max="9487" width="5.125" style="2" customWidth="1"/>
    <col min="9488" max="9488" width="7.375" style="2" customWidth="1"/>
    <col min="9489" max="9489" width="10.75" style="2" customWidth="1"/>
    <col min="9490" max="9728" width="9" style="2"/>
    <col min="9729" max="9729" width="4.75" style="2" customWidth="1"/>
    <col min="9730" max="9730" width="5.625" style="2" customWidth="1"/>
    <col min="9731" max="9731" width="6.875" style="2" customWidth="1"/>
    <col min="9732" max="9732" width="14.625" style="2" customWidth="1"/>
    <col min="9733" max="9733" width="6.5" style="2" customWidth="1"/>
    <col min="9734" max="9736" width="7.75" style="2" customWidth="1"/>
    <col min="9737" max="9737" width="11.125" style="2" customWidth="1"/>
    <col min="9738" max="9738" width="8.625" style="2" customWidth="1"/>
    <col min="9739" max="9743" width="5.125" style="2" customWidth="1"/>
    <col min="9744" max="9744" width="7.375" style="2" customWidth="1"/>
    <col min="9745" max="9745" width="10.75" style="2" customWidth="1"/>
    <col min="9746" max="9984" width="9" style="2"/>
    <col min="9985" max="9985" width="4.75" style="2" customWidth="1"/>
    <col min="9986" max="9986" width="5.625" style="2" customWidth="1"/>
    <col min="9987" max="9987" width="6.875" style="2" customWidth="1"/>
    <col min="9988" max="9988" width="14.625" style="2" customWidth="1"/>
    <col min="9989" max="9989" width="6.5" style="2" customWidth="1"/>
    <col min="9990" max="9992" width="7.75" style="2" customWidth="1"/>
    <col min="9993" max="9993" width="11.125" style="2" customWidth="1"/>
    <col min="9994" max="9994" width="8.625" style="2" customWidth="1"/>
    <col min="9995" max="9999" width="5.125" style="2" customWidth="1"/>
    <col min="10000" max="10000" width="7.375" style="2" customWidth="1"/>
    <col min="10001" max="10001" width="10.75" style="2" customWidth="1"/>
    <col min="10002" max="10240" width="9" style="2"/>
    <col min="10241" max="10241" width="4.75" style="2" customWidth="1"/>
    <col min="10242" max="10242" width="5.625" style="2" customWidth="1"/>
    <col min="10243" max="10243" width="6.875" style="2" customWidth="1"/>
    <col min="10244" max="10244" width="14.625" style="2" customWidth="1"/>
    <col min="10245" max="10245" width="6.5" style="2" customWidth="1"/>
    <col min="10246" max="10248" width="7.75" style="2" customWidth="1"/>
    <col min="10249" max="10249" width="11.125" style="2" customWidth="1"/>
    <col min="10250" max="10250" width="8.625" style="2" customWidth="1"/>
    <col min="10251" max="10255" width="5.125" style="2" customWidth="1"/>
    <col min="10256" max="10256" width="7.375" style="2" customWidth="1"/>
    <col min="10257" max="10257" width="10.75" style="2" customWidth="1"/>
    <col min="10258" max="10496" width="9" style="2"/>
    <col min="10497" max="10497" width="4.75" style="2" customWidth="1"/>
    <col min="10498" max="10498" width="5.625" style="2" customWidth="1"/>
    <col min="10499" max="10499" width="6.875" style="2" customWidth="1"/>
    <col min="10500" max="10500" width="14.625" style="2" customWidth="1"/>
    <col min="10501" max="10501" width="6.5" style="2" customWidth="1"/>
    <col min="10502" max="10504" width="7.75" style="2" customWidth="1"/>
    <col min="10505" max="10505" width="11.125" style="2" customWidth="1"/>
    <col min="10506" max="10506" width="8.625" style="2" customWidth="1"/>
    <col min="10507" max="10511" width="5.125" style="2" customWidth="1"/>
    <col min="10512" max="10512" width="7.375" style="2" customWidth="1"/>
    <col min="10513" max="10513" width="10.75" style="2" customWidth="1"/>
    <col min="10514" max="10752" width="9" style="2"/>
    <col min="10753" max="10753" width="4.75" style="2" customWidth="1"/>
    <col min="10754" max="10754" width="5.625" style="2" customWidth="1"/>
    <col min="10755" max="10755" width="6.875" style="2" customWidth="1"/>
    <col min="10756" max="10756" width="14.625" style="2" customWidth="1"/>
    <col min="10757" max="10757" width="6.5" style="2" customWidth="1"/>
    <col min="10758" max="10760" width="7.75" style="2" customWidth="1"/>
    <col min="10761" max="10761" width="11.125" style="2" customWidth="1"/>
    <col min="10762" max="10762" width="8.625" style="2" customWidth="1"/>
    <col min="10763" max="10767" width="5.125" style="2" customWidth="1"/>
    <col min="10768" max="10768" width="7.375" style="2" customWidth="1"/>
    <col min="10769" max="10769" width="10.75" style="2" customWidth="1"/>
    <col min="10770" max="11008" width="9" style="2"/>
    <col min="11009" max="11009" width="4.75" style="2" customWidth="1"/>
    <col min="11010" max="11010" width="5.625" style="2" customWidth="1"/>
    <col min="11011" max="11011" width="6.875" style="2" customWidth="1"/>
    <col min="11012" max="11012" width="14.625" style="2" customWidth="1"/>
    <col min="11013" max="11013" width="6.5" style="2" customWidth="1"/>
    <col min="11014" max="11016" width="7.75" style="2" customWidth="1"/>
    <col min="11017" max="11017" width="11.125" style="2" customWidth="1"/>
    <col min="11018" max="11018" width="8.625" style="2" customWidth="1"/>
    <col min="11019" max="11023" width="5.125" style="2" customWidth="1"/>
    <col min="11024" max="11024" width="7.375" style="2" customWidth="1"/>
    <col min="11025" max="11025" width="10.75" style="2" customWidth="1"/>
    <col min="11026" max="11264" width="9" style="2"/>
    <col min="11265" max="11265" width="4.75" style="2" customWidth="1"/>
    <col min="11266" max="11266" width="5.625" style="2" customWidth="1"/>
    <col min="11267" max="11267" width="6.875" style="2" customWidth="1"/>
    <col min="11268" max="11268" width="14.625" style="2" customWidth="1"/>
    <col min="11269" max="11269" width="6.5" style="2" customWidth="1"/>
    <col min="11270" max="11272" width="7.75" style="2" customWidth="1"/>
    <col min="11273" max="11273" width="11.125" style="2" customWidth="1"/>
    <col min="11274" max="11274" width="8.625" style="2" customWidth="1"/>
    <col min="11275" max="11279" width="5.125" style="2" customWidth="1"/>
    <col min="11280" max="11280" width="7.375" style="2" customWidth="1"/>
    <col min="11281" max="11281" width="10.75" style="2" customWidth="1"/>
    <col min="11282" max="11520" width="9" style="2"/>
    <col min="11521" max="11521" width="4.75" style="2" customWidth="1"/>
    <col min="11522" max="11522" width="5.625" style="2" customWidth="1"/>
    <col min="11523" max="11523" width="6.875" style="2" customWidth="1"/>
    <col min="11524" max="11524" width="14.625" style="2" customWidth="1"/>
    <col min="11525" max="11525" width="6.5" style="2" customWidth="1"/>
    <col min="11526" max="11528" width="7.75" style="2" customWidth="1"/>
    <col min="11529" max="11529" width="11.125" style="2" customWidth="1"/>
    <col min="11530" max="11530" width="8.625" style="2" customWidth="1"/>
    <col min="11531" max="11535" width="5.125" style="2" customWidth="1"/>
    <col min="11536" max="11536" width="7.375" style="2" customWidth="1"/>
    <col min="11537" max="11537" width="10.75" style="2" customWidth="1"/>
    <col min="11538" max="11776" width="9" style="2"/>
    <col min="11777" max="11777" width="4.75" style="2" customWidth="1"/>
    <col min="11778" max="11778" width="5.625" style="2" customWidth="1"/>
    <col min="11779" max="11779" width="6.875" style="2" customWidth="1"/>
    <col min="11780" max="11780" width="14.625" style="2" customWidth="1"/>
    <col min="11781" max="11781" width="6.5" style="2" customWidth="1"/>
    <col min="11782" max="11784" width="7.75" style="2" customWidth="1"/>
    <col min="11785" max="11785" width="11.125" style="2" customWidth="1"/>
    <col min="11786" max="11786" width="8.625" style="2" customWidth="1"/>
    <col min="11787" max="11791" width="5.125" style="2" customWidth="1"/>
    <col min="11792" max="11792" width="7.375" style="2" customWidth="1"/>
    <col min="11793" max="11793" width="10.75" style="2" customWidth="1"/>
    <col min="11794" max="12032" width="9" style="2"/>
    <col min="12033" max="12033" width="4.75" style="2" customWidth="1"/>
    <col min="12034" max="12034" width="5.625" style="2" customWidth="1"/>
    <col min="12035" max="12035" width="6.875" style="2" customWidth="1"/>
    <col min="12036" max="12036" width="14.625" style="2" customWidth="1"/>
    <col min="12037" max="12037" width="6.5" style="2" customWidth="1"/>
    <col min="12038" max="12040" width="7.75" style="2" customWidth="1"/>
    <col min="12041" max="12041" width="11.125" style="2" customWidth="1"/>
    <col min="12042" max="12042" width="8.625" style="2" customWidth="1"/>
    <col min="12043" max="12047" width="5.125" style="2" customWidth="1"/>
    <col min="12048" max="12048" width="7.375" style="2" customWidth="1"/>
    <col min="12049" max="12049" width="10.75" style="2" customWidth="1"/>
    <col min="12050" max="12288" width="9" style="2"/>
    <col min="12289" max="12289" width="4.75" style="2" customWidth="1"/>
    <col min="12290" max="12290" width="5.625" style="2" customWidth="1"/>
    <col min="12291" max="12291" width="6.875" style="2" customWidth="1"/>
    <col min="12292" max="12292" width="14.625" style="2" customWidth="1"/>
    <col min="12293" max="12293" width="6.5" style="2" customWidth="1"/>
    <col min="12294" max="12296" width="7.75" style="2" customWidth="1"/>
    <col min="12297" max="12297" width="11.125" style="2" customWidth="1"/>
    <col min="12298" max="12298" width="8.625" style="2" customWidth="1"/>
    <col min="12299" max="12303" width="5.125" style="2" customWidth="1"/>
    <col min="12304" max="12304" width="7.375" style="2" customWidth="1"/>
    <col min="12305" max="12305" width="10.75" style="2" customWidth="1"/>
    <col min="12306" max="12544" width="9" style="2"/>
    <col min="12545" max="12545" width="4.75" style="2" customWidth="1"/>
    <col min="12546" max="12546" width="5.625" style="2" customWidth="1"/>
    <col min="12547" max="12547" width="6.875" style="2" customWidth="1"/>
    <col min="12548" max="12548" width="14.625" style="2" customWidth="1"/>
    <col min="12549" max="12549" width="6.5" style="2" customWidth="1"/>
    <col min="12550" max="12552" width="7.75" style="2" customWidth="1"/>
    <col min="12553" max="12553" width="11.125" style="2" customWidth="1"/>
    <col min="12554" max="12554" width="8.625" style="2" customWidth="1"/>
    <col min="12555" max="12559" width="5.125" style="2" customWidth="1"/>
    <col min="12560" max="12560" width="7.375" style="2" customWidth="1"/>
    <col min="12561" max="12561" width="10.75" style="2" customWidth="1"/>
    <col min="12562" max="12800" width="9" style="2"/>
    <col min="12801" max="12801" width="4.75" style="2" customWidth="1"/>
    <col min="12802" max="12802" width="5.625" style="2" customWidth="1"/>
    <col min="12803" max="12803" width="6.875" style="2" customWidth="1"/>
    <col min="12804" max="12804" width="14.625" style="2" customWidth="1"/>
    <col min="12805" max="12805" width="6.5" style="2" customWidth="1"/>
    <col min="12806" max="12808" width="7.75" style="2" customWidth="1"/>
    <col min="12809" max="12809" width="11.125" style="2" customWidth="1"/>
    <col min="12810" max="12810" width="8.625" style="2" customWidth="1"/>
    <col min="12811" max="12815" width="5.125" style="2" customWidth="1"/>
    <col min="12816" max="12816" width="7.375" style="2" customWidth="1"/>
    <col min="12817" max="12817" width="10.75" style="2" customWidth="1"/>
    <col min="12818" max="13056" width="9" style="2"/>
    <col min="13057" max="13057" width="4.75" style="2" customWidth="1"/>
    <col min="13058" max="13058" width="5.625" style="2" customWidth="1"/>
    <col min="13059" max="13059" width="6.875" style="2" customWidth="1"/>
    <col min="13060" max="13060" width="14.625" style="2" customWidth="1"/>
    <col min="13061" max="13061" width="6.5" style="2" customWidth="1"/>
    <col min="13062" max="13064" width="7.75" style="2" customWidth="1"/>
    <col min="13065" max="13065" width="11.125" style="2" customWidth="1"/>
    <col min="13066" max="13066" width="8.625" style="2" customWidth="1"/>
    <col min="13067" max="13071" width="5.125" style="2" customWidth="1"/>
    <col min="13072" max="13072" width="7.375" style="2" customWidth="1"/>
    <col min="13073" max="13073" width="10.75" style="2" customWidth="1"/>
    <col min="13074" max="13312" width="9" style="2"/>
    <col min="13313" max="13313" width="4.75" style="2" customWidth="1"/>
    <col min="13314" max="13314" width="5.625" style="2" customWidth="1"/>
    <col min="13315" max="13315" width="6.875" style="2" customWidth="1"/>
    <col min="13316" max="13316" width="14.625" style="2" customWidth="1"/>
    <col min="13317" max="13317" width="6.5" style="2" customWidth="1"/>
    <col min="13318" max="13320" width="7.75" style="2" customWidth="1"/>
    <col min="13321" max="13321" width="11.125" style="2" customWidth="1"/>
    <col min="13322" max="13322" width="8.625" style="2" customWidth="1"/>
    <col min="13323" max="13327" width="5.125" style="2" customWidth="1"/>
    <col min="13328" max="13328" width="7.375" style="2" customWidth="1"/>
    <col min="13329" max="13329" width="10.75" style="2" customWidth="1"/>
    <col min="13330" max="13568" width="9" style="2"/>
    <col min="13569" max="13569" width="4.75" style="2" customWidth="1"/>
    <col min="13570" max="13570" width="5.625" style="2" customWidth="1"/>
    <col min="13571" max="13571" width="6.875" style="2" customWidth="1"/>
    <col min="13572" max="13572" width="14.625" style="2" customWidth="1"/>
    <col min="13573" max="13573" width="6.5" style="2" customWidth="1"/>
    <col min="13574" max="13576" width="7.75" style="2" customWidth="1"/>
    <col min="13577" max="13577" width="11.125" style="2" customWidth="1"/>
    <col min="13578" max="13578" width="8.625" style="2" customWidth="1"/>
    <col min="13579" max="13583" width="5.125" style="2" customWidth="1"/>
    <col min="13584" max="13584" width="7.375" style="2" customWidth="1"/>
    <col min="13585" max="13585" width="10.75" style="2" customWidth="1"/>
    <col min="13586" max="13824" width="9" style="2"/>
    <col min="13825" max="13825" width="4.75" style="2" customWidth="1"/>
    <col min="13826" max="13826" width="5.625" style="2" customWidth="1"/>
    <col min="13827" max="13827" width="6.875" style="2" customWidth="1"/>
    <col min="13828" max="13828" width="14.625" style="2" customWidth="1"/>
    <col min="13829" max="13829" width="6.5" style="2" customWidth="1"/>
    <col min="13830" max="13832" width="7.75" style="2" customWidth="1"/>
    <col min="13833" max="13833" width="11.125" style="2" customWidth="1"/>
    <col min="13834" max="13834" width="8.625" style="2" customWidth="1"/>
    <col min="13835" max="13839" width="5.125" style="2" customWidth="1"/>
    <col min="13840" max="13840" width="7.375" style="2" customWidth="1"/>
    <col min="13841" max="13841" width="10.75" style="2" customWidth="1"/>
    <col min="13842" max="14080" width="9" style="2"/>
    <col min="14081" max="14081" width="4.75" style="2" customWidth="1"/>
    <col min="14082" max="14082" width="5.625" style="2" customWidth="1"/>
    <col min="14083" max="14083" width="6.875" style="2" customWidth="1"/>
    <col min="14084" max="14084" width="14.625" style="2" customWidth="1"/>
    <col min="14085" max="14085" width="6.5" style="2" customWidth="1"/>
    <col min="14086" max="14088" width="7.75" style="2" customWidth="1"/>
    <col min="14089" max="14089" width="11.125" style="2" customWidth="1"/>
    <col min="14090" max="14090" width="8.625" style="2" customWidth="1"/>
    <col min="14091" max="14095" width="5.125" style="2" customWidth="1"/>
    <col min="14096" max="14096" width="7.375" style="2" customWidth="1"/>
    <col min="14097" max="14097" width="10.75" style="2" customWidth="1"/>
    <col min="14098" max="14336" width="9" style="2"/>
    <col min="14337" max="14337" width="4.75" style="2" customWidth="1"/>
    <col min="14338" max="14338" width="5.625" style="2" customWidth="1"/>
    <col min="14339" max="14339" width="6.875" style="2" customWidth="1"/>
    <col min="14340" max="14340" width="14.625" style="2" customWidth="1"/>
    <col min="14341" max="14341" width="6.5" style="2" customWidth="1"/>
    <col min="14342" max="14344" width="7.75" style="2" customWidth="1"/>
    <col min="14345" max="14345" width="11.125" style="2" customWidth="1"/>
    <col min="14346" max="14346" width="8.625" style="2" customWidth="1"/>
    <col min="14347" max="14351" width="5.125" style="2" customWidth="1"/>
    <col min="14352" max="14352" width="7.375" style="2" customWidth="1"/>
    <col min="14353" max="14353" width="10.75" style="2" customWidth="1"/>
    <col min="14354" max="14592" width="9" style="2"/>
    <col min="14593" max="14593" width="4.75" style="2" customWidth="1"/>
    <col min="14594" max="14594" width="5.625" style="2" customWidth="1"/>
    <col min="14595" max="14595" width="6.875" style="2" customWidth="1"/>
    <col min="14596" max="14596" width="14.625" style="2" customWidth="1"/>
    <col min="14597" max="14597" width="6.5" style="2" customWidth="1"/>
    <col min="14598" max="14600" width="7.75" style="2" customWidth="1"/>
    <col min="14601" max="14601" width="11.125" style="2" customWidth="1"/>
    <col min="14602" max="14602" width="8.625" style="2" customWidth="1"/>
    <col min="14603" max="14607" width="5.125" style="2" customWidth="1"/>
    <col min="14608" max="14608" width="7.375" style="2" customWidth="1"/>
    <col min="14609" max="14609" width="10.75" style="2" customWidth="1"/>
    <col min="14610" max="14848" width="9" style="2"/>
    <col min="14849" max="14849" width="4.75" style="2" customWidth="1"/>
    <col min="14850" max="14850" width="5.625" style="2" customWidth="1"/>
    <col min="14851" max="14851" width="6.875" style="2" customWidth="1"/>
    <col min="14852" max="14852" width="14.625" style="2" customWidth="1"/>
    <col min="14853" max="14853" width="6.5" style="2" customWidth="1"/>
    <col min="14854" max="14856" width="7.75" style="2" customWidth="1"/>
    <col min="14857" max="14857" width="11.125" style="2" customWidth="1"/>
    <col min="14858" max="14858" width="8.625" style="2" customWidth="1"/>
    <col min="14859" max="14863" width="5.125" style="2" customWidth="1"/>
    <col min="14864" max="14864" width="7.375" style="2" customWidth="1"/>
    <col min="14865" max="14865" width="10.75" style="2" customWidth="1"/>
    <col min="14866" max="15104" width="9" style="2"/>
    <col min="15105" max="15105" width="4.75" style="2" customWidth="1"/>
    <col min="15106" max="15106" width="5.625" style="2" customWidth="1"/>
    <col min="15107" max="15107" width="6.875" style="2" customWidth="1"/>
    <col min="15108" max="15108" width="14.625" style="2" customWidth="1"/>
    <col min="15109" max="15109" width="6.5" style="2" customWidth="1"/>
    <col min="15110" max="15112" width="7.75" style="2" customWidth="1"/>
    <col min="15113" max="15113" width="11.125" style="2" customWidth="1"/>
    <col min="15114" max="15114" width="8.625" style="2" customWidth="1"/>
    <col min="15115" max="15119" width="5.125" style="2" customWidth="1"/>
    <col min="15120" max="15120" width="7.375" style="2" customWidth="1"/>
    <col min="15121" max="15121" width="10.75" style="2" customWidth="1"/>
    <col min="15122" max="15360" width="9" style="2"/>
    <col min="15361" max="15361" width="4.75" style="2" customWidth="1"/>
    <col min="15362" max="15362" width="5.625" style="2" customWidth="1"/>
    <col min="15363" max="15363" width="6.875" style="2" customWidth="1"/>
    <col min="15364" max="15364" width="14.625" style="2" customWidth="1"/>
    <col min="15365" max="15365" width="6.5" style="2" customWidth="1"/>
    <col min="15366" max="15368" width="7.75" style="2" customWidth="1"/>
    <col min="15369" max="15369" width="11.125" style="2" customWidth="1"/>
    <col min="15370" max="15370" width="8.625" style="2" customWidth="1"/>
    <col min="15371" max="15375" width="5.125" style="2" customWidth="1"/>
    <col min="15376" max="15376" width="7.375" style="2" customWidth="1"/>
    <col min="15377" max="15377" width="10.75" style="2" customWidth="1"/>
    <col min="15378" max="15616" width="9" style="2"/>
    <col min="15617" max="15617" width="4.75" style="2" customWidth="1"/>
    <col min="15618" max="15618" width="5.625" style="2" customWidth="1"/>
    <col min="15619" max="15619" width="6.875" style="2" customWidth="1"/>
    <col min="15620" max="15620" width="14.625" style="2" customWidth="1"/>
    <col min="15621" max="15621" width="6.5" style="2" customWidth="1"/>
    <col min="15622" max="15624" width="7.75" style="2" customWidth="1"/>
    <col min="15625" max="15625" width="11.125" style="2" customWidth="1"/>
    <col min="15626" max="15626" width="8.625" style="2" customWidth="1"/>
    <col min="15627" max="15631" width="5.125" style="2" customWidth="1"/>
    <col min="15632" max="15632" width="7.375" style="2" customWidth="1"/>
    <col min="15633" max="15633" width="10.75" style="2" customWidth="1"/>
    <col min="15634" max="15872" width="9" style="2"/>
    <col min="15873" max="15873" width="4.75" style="2" customWidth="1"/>
    <col min="15874" max="15874" width="5.625" style="2" customWidth="1"/>
    <col min="15875" max="15875" width="6.875" style="2" customWidth="1"/>
    <col min="15876" max="15876" width="14.625" style="2" customWidth="1"/>
    <col min="15877" max="15877" width="6.5" style="2" customWidth="1"/>
    <col min="15878" max="15880" width="7.75" style="2" customWidth="1"/>
    <col min="15881" max="15881" width="11.125" style="2" customWidth="1"/>
    <col min="15882" max="15882" width="8.625" style="2" customWidth="1"/>
    <col min="15883" max="15887" width="5.125" style="2" customWidth="1"/>
    <col min="15888" max="15888" width="7.375" style="2" customWidth="1"/>
    <col min="15889" max="15889" width="10.75" style="2" customWidth="1"/>
    <col min="15890" max="16128" width="9" style="2"/>
    <col min="16129" max="16129" width="4.75" style="2" customWidth="1"/>
    <col min="16130" max="16130" width="5.625" style="2" customWidth="1"/>
    <col min="16131" max="16131" width="6.875" style="2" customWidth="1"/>
    <col min="16132" max="16132" width="14.625" style="2" customWidth="1"/>
    <col min="16133" max="16133" width="6.5" style="2" customWidth="1"/>
    <col min="16134" max="16136" width="7.75" style="2" customWidth="1"/>
    <col min="16137" max="16137" width="11.125" style="2" customWidth="1"/>
    <col min="16138" max="16138" width="8.625" style="2" customWidth="1"/>
    <col min="16139" max="16143" width="5.125" style="2" customWidth="1"/>
    <col min="16144" max="16144" width="7.375" style="2" customWidth="1"/>
    <col min="16145" max="16145" width="10.75" style="2" customWidth="1"/>
    <col min="16146" max="16384" width="9" style="2"/>
  </cols>
  <sheetData>
    <row r="1" ht="24" customHeight="1" spans="1:17">
      <c r="A1" s="3" t="s">
        <v>121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ht="37.5" customHeight="1" spans="1:17">
      <c r="A2" s="5" t="s">
        <v>122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ht="45" customHeight="1" spans="1:17">
      <c r="A3" s="6" t="s">
        <v>2</v>
      </c>
      <c r="B3" s="6" t="s">
        <v>3</v>
      </c>
      <c r="C3" s="6" t="s">
        <v>96</v>
      </c>
      <c r="D3" s="6" t="s">
        <v>7</v>
      </c>
      <c r="E3" s="6" t="s">
        <v>97</v>
      </c>
      <c r="F3" s="6" t="s">
        <v>123</v>
      </c>
      <c r="G3" s="6" t="s">
        <v>124</v>
      </c>
      <c r="H3" s="6" t="s">
        <v>100</v>
      </c>
      <c r="I3" s="6" t="s">
        <v>101</v>
      </c>
      <c r="J3" s="6" t="s">
        <v>102</v>
      </c>
      <c r="K3" s="11" t="s">
        <v>15</v>
      </c>
      <c r="L3" s="11"/>
      <c r="M3" s="11"/>
      <c r="N3" s="11"/>
      <c r="O3" s="11"/>
      <c r="P3" s="12" t="s">
        <v>16</v>
      </c>
      <c r="Q3" s="6" t="s">
        <v>35</v>
      </c>
    </row>
    <row r="4" ht="45" customHeight="1" spans="1:17">
      <c r="A4" s="7"/>
      <c r="B4" s="7"/>
      <c r="C4" s="7"/>
      <c r="D4" s="7"/>
      <c r="E4" s="7"/>
      <c r="F4" s="7"/>
      <c r="G4" s="7"/>
      <c r="H4" s="7"/>
      <c r="I4" s="7"/>
      <c r="J4" s="7"/>
      <c r="K4" s="9" t="s">
        <v>18</v>
      </c>
      <c r="L4" s="9" t="s">
        <v>19</v>
      </c>
      <c r="M4" s="9" t="s">
        <v>20</v>
      </c>
      <c r="N4" s="9" t="s">
        <v>21</v>
      </c>
      <c r="O4" s="9" t="s">
        <v>22</v>
      </c>
      <c r="P4" s="13"/>
      <c r="Q4" s="7"/>
    </row>
    <row r="5" s="1" customFormat="1" ht="30" customHeight="1" spans="1:17">
      <c r="A5" s="8">
        <v>9</v>
      </c>
      <c r="B5" s="8" t="s">
        <v>23</v>
      </c>
      <c r="C5" s="8" t="s">
        <v>103</v>
      </c>
      <c r="D5" s="8" t="s">
        <v>125</v>
      </c>
      <c r="E5" s="8" t="s">
        <v>110</v>
      </c>
      <c r="F5" s="8">
        <v>6</v>
      </c>
      <c r="G5" s="8">
        <v>4</v>
      </c>
      <c r="H5" s="8">
        <f>F5*G5*0.4</f>
        <v>9.6</v>
      </c>
      <c r="I5" s="8" t="s">
        <v>30</v>
      </c>
      <c r="J5" s="8" t="s">
        <v>31</v>
      </c>
      <c r="K5" s="8"/>
      <c r="L5" s="8"/>
      <c r="N5" s="8">
        <v>1</v>
      </c>
      <c r="O5" s="8" t="s">
        <v>126</v>
      </c>
      <c r="P5" s="14">
        <f>H5*50%</f>
        <v>4.8</v>
      </c>
      <c r="Q5" s="8"/>
    </row>
    <row r="6" ht="30" customHeight="1" spans="1:17">
      <c r="A6" s="9">
        <v>10</v>
      </c>
      <c r="B6" s="9" t="s">
        <v>23</v>
      </c>
      <c r="C6" s="9" t="s">
        <v>103</v>
      </c>
      <c r="D6" s="9" t="s">
        <v>127</v>
      </c>
      <c r="E6" s="9" t="s">
        <v>128</v>
      </c>
      <c r="F6" s="9">
        <v>12</v>
      </c>
      <c r="G6" s="9">
        <v>5.5</v>
      </c>
      <c r="H6" s="9">
        <f>F6*G6*0.4</f>
        <v>26.4</v>
      </c>
      <c r="I6" s="9" t="s">
        <v>30</v>
      </c>
      <c r="J6" s="9" t="s">
        <v>31</v>
      </c>
      <c r="K6" s="9"/>
      <c r="L6" s="9"/>
      <c r="M6" s="15"/>
      <c r="N6" s="15"/>
      <c r="O6" s="15"/>
      <c r="P6" s="15"/>
      <c r="Q6" s="15" t="s">
        <v>129</v>
      </c>
    </row>
    <row r="7" ht="30" customHeight="1" spans="1:17">
      <c r="A7" s="9">
        <v>11</v>
      </c>
      <c r="B7" s="9" t="s">
        <v>23</v>
      </c>
      <c r="C7" s="9" t="s">
        <v>103</v>
      </c>
      <c r="D7" s="9" t="s">
        <v>130</v>
      </c>
      <c r="E7" s="9" t="s">
        <v>131</v>
      </c>
      <c r="F7" s="9">
        <v>7</v>
      </c>
      <c r="G7" s="9">
        <v>5.5</v>
      </c>
      <c r="H7" s="9">
        <f>F7*G7*0.4</f>
        <v>15.4</v>
      </c>
      <c r="I7" s="9" t="s">
        <v>30</v>
      </c>
      <c r="J7" s="9" t="s">
        <v>31</v>
      </c>
      <c r="K7" s="9"/>
      <c r="L7" s="9"/>
      <c r="M7" s="15">
        <v>1</v>
      </c>
      <c r="N7" s="15"/>
      <c r="O7" s="15"/>
      <c r="P7" s="16">
        <f>H7*50%</f>
        <v>7.7</v>
      </c>
      <c r="Q7" s="15"/>
    </row>
    <row r="8" ht="28.5" customHeight="1" spans="1:17">
      <c r="A8" s="10" t="s">
        <v>132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</sheetData>
  <mergeCells count="16">
    <mergeCell ref="A1:B1"/>
    <mergeCell ref="A2:Q2"/>
    <mergeCell ref="K3:O3"/>
    <mergeCell ref="A8:Q8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P3:P4"/>
    <mergeCell ref="Q3:Q4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未脱贫村拓宽</vt:lpstr>
      <vt:lpstr>未脱贫村通组路</vt:lpstr>
      <vt:lpstr>未脱贫村便民桥</vt:lpstr>
      <vt:lpstr>深度贫困村拓宽</vt:lpstr>
      <vt:lpstr>深度贫困村通组路</vt:lpstr>
      <vt:lpstr>深度贫困村便民桥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搁浅</cp:lastModifiedBy>
  <dcterms:created xsi:type="dcterms:W3CDTF">2018-02-05T01:53:00Z</dcterms:created>
  <cp:lastPrinted>2018-05-25T00:11:00Z</cp:lastPrinted>
  <dcterms:modified xsi:type="dcterms:W3CDTF">2018-07-12T08:20:06Z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