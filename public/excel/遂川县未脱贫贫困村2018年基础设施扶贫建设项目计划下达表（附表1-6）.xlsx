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 activeTab="5"/>
  </bookViews>
  <sheets>
    <sheet name="附件1" sheetId="3" r:id="rId1"/>
    <sheet name="附件2" sheetId="1" r:id="rId2"/>
    <sheet name="附件3" sheetId="6" r:id="rId3"/>
    <sheet name="附件4" sheetId="5" r:id="rId4"/>
    <sheet name="附件5" sheetId="4" r:id="rId5"/>
    <sheet name="附件6" sheetId="2" r:id="rId6"/>
  </sheets>
  <definedNames>
    <definedName name="_xlnm._FilterDatabase" localSheetId="0" hidden="1">附件1!$A$3:$Q$8</definedName>
    <definedName name="_xlnm._FilterDatabase" localSheetId="1" hidden="1">附件2!$A$3:$N$42</definedName>
    <definedName name="_xlnm._FilterDatabase" localSheetId="5" hidden="1">附件6!$A$3:$K$23</definedName>
    <definedName name="_xlnm.Print_Titles" localSheetId="0">附件1!$3:$3</definedName>
    <definedName name="_xlnm.Print_Titles" localSheetId="1">附件2!$3:$3</definedName>
  </definedNames>
  <calcPr calcId="144525"/>
</workbook>
</file>

<file path=xl/sharedStrings.xml><?xml version="1.0" encoding="utf-8"?>
<sst xmlns="http://schemas.openxmlformats.org/spreadsheetml/2006/main" count="264">
  <si>
    <t>附件1：</t>
  </si>
  <si>
    <t>遂川县未脱贫贫困村2018年通村道路拓宽建设项目计划下达表</t>
  </si>
  <si>
    <t>序号</t>
  </si>
  <si>
    <t>乡镇</t>
  </si>
  <si>
    <t>贫困村</t>
  </si>
  <si>
    <t>项目实施地点</t>
  </si>
  <si>
    <t>村点类别</t>
  </si>
  <si>
    <t>项目名称</t>
  </si>
  <si>
    <t>硬化实施时间</t>
  </si>
  <si>
    <t>是否新建路基</t>
  </si>
  <si>
    <t>拟硬化里程（公里）</t>
  </si>
  <si>
    <t>拟拓宽路面宽度（米）</t>
  </si>
  <si>
    <t>计划补助资金（万元）</t>
  </si>
  <si>
    <t>责任单位</t>
  </si>
  <si>
    <t>行业主管部门</t>
  </si>
  <si>
    <t>备注</t>
  </si>
  <si>
    <t>合计</t>
  </si>
  <si>
    <t>堆子前镇</t>
  </si>
  <si>
    <t>卜侯村</t>
  </si>
  <si>
    <t>二类村</t>
  </si>
  <si>
    <t>三五桥至卜侯村委会拓宽</t>
  </si>
  <si>
    <t>2018年</t>
  </si>
  <si>
    <t>是</t>
  </si>
  <si>
    <t>加宽2米</t>
  </si>
  <si>
    <t>堆子前镇政府</t>
  </si>
  <si>
    <t>县交通局</t>
  </si>
  <si>
    <t>村委会至高倚拓宽</t>
  </si>
  <si>
    <t>加宽1.5米</t>
  </si>
  <si>
    <t>堆子前政府</t>
  </si>
  <si>
    <t>泉江镇</t>
  </si>
  <si>
    <t>五里村</t>
  </si>
  <si>
    <t>五里片</t>
  </si>
  <si>
    <t>三类村</t>
  </si>
  <si>
    <t>五里村五里片至堆子前公路拓宽</t>
  </si>
  <si>
    <t>泉江镇政府</t>
  </si>
  <si>
    <t>左安镇</t>
  </si>
  <si>
    <t>鹤坑村</t>
  </si>
  <si>
    <t>半径至鹤坑村道拓宽</t>
  </si>
  <si>
    <t>左安镇政府</t>
  </si>
  <si>
    <t>附件2：</t>
  </si>
  <si>
    <t>遂川县未脱贫贫困村2018年通组公路建设项目计划下达表</t>
  </si>
  <si>
    <t>路面宽度（米）</t>
  </si>
  <si>
    <t>大汾镇</t>
  </si>
  <si>
    <t>鹿坑村</t>
  </si>
  <si>
    <t>黄坳组</t>
  </si>
  <si>
    <t>黄坳组通组公路</t>
  </si>
  <si>
    <t>大汾镇政府</t>
  </si>
  <si>
    <t>新屋组</t>
  </si>
  <si>
    <t>新屋组通组公路</t>
  </si>
  <si>
    <t>否</t>
  </si>
  <si>
    <t>寨背组</t>
  </si>
  <si>
    <t>寨背组通组公路</t>
  </si>
  <si>
    <t>坑尾组</t>
  </si>
  <si>
    <t>坑尾组通组公路</t>
  </si>
  <si>
    <t>戴家埔乡</t>
  </si>
  <si>
    <t>七岭村</t>
  </si>
  <si>
    <t>金鸡组</t>
  </si>
  <si>
    <t>金鸡、下马组通组路</t>
  </si>
  <si>
    <t>戴家埔乡政府</t>
  </si>
  <si>
    <t>下马组</t>
  </si>
  <si>
    <t>阡陌公路至下马组</t>
  </si>
  <si>
    <t>中马组</t>
  </si>
  <si>
    <t>金鸡至中马</t>
  </si>
  <si>
    <t>茶园组</t>
  </si>
  <si>
    <t>桥水电站至茶园</t>
  </si>
  <si>
    <t>下湾组</t>
  </si>
  <si>
    <t>下湾组通组路</t>
  </si>
  <si>
    <t>高坪镇</t>
  </si>
  <si>
    <t>明坑村</t>
  </si>
  <si>
    <t>明坑组</t>
  </si>
  <si>
    <t>吊耕至塆坵通组公路硬化</t>
  </si>
  <si>
    <t>高坪镇政府</t>
  </si>
  <si>
    <t>塘玄段里道路</t>
  </si>
  <si>
    <t>禾源镇</t>
  </si>
  <si>
    <t>三溪村</t>
  </si>
  <si>
    <t>茶园通组路路</t>
  </si>
  <si>
    <t>禾源镇政府</t>
  </si>
  <si>
    <t>南江乡</t>
  </si>
  <si>
    <t>樟溪村</t>
  </si>
  <si>
    <t>海溪组</t>
  </si>
  <si>
    <t>樟溪至海溪通组公路</t>
  </si>
  <si>
    <t>南江乡政府</t>
  </si>
  <si>
    <t>小源组</t>
  </si>
  <si>
    <t>樟溪至小源通组公路</t>
  </si>
  <si>
    <t>上村组</t>
  </si>
  <si>
    <t>上村至杨禾公路</t>
  </si>
  <si>
    <t>西溪乡</t>
  </si>
  <si>
    <t>文坳村</t>
  </si>
  <si>
    <t>邹屋组</t>
  </si>
  <si>
    <t>邹屋通组公路</t>
  </si>
  <si>
    <t>西溪乡政府</t>
  </si>
  <si>
    <t>湖洋组</t>
  </si>
  <si>
    <t>湖洋组通组路</t>
  </si>
  <si>
    <t>青广坪组</t>
  </si>
  <si>
    <t>青广坪至五指峰</t>
  </si>
  <si>
    <t>杨梅组</t>
  </si>
  <si>
    <t>村道至杨梅通组路</t>
  </si>
  <si>
    <t>下村组</t>
  </si>
  <si>
    <t>村道至下村通组路</t>
  </si>
  <si>
    <t>海螺组</t>
  </si>
  <si>
    <t>村道至海螺通组路</t>
  </si>
  <si>
    <t>垠头组</t>
  </si>
  <si>
    <t>菜花至垠头通组路</t>
  </si>
  <si>
    <t>横坑至苦竹排通组路</t>
  </si>
  <si>
    <t>横坑组</t>
  </si>
  <si>
    <t>菜花至横坑通组路</t>
  </si>
  <si>
    <t>坳背组</t>
  </si>
  <si>
    <t>石门至坳背通组路</t>
  </si>
  <si>
    <t>菜花组</t>
  </si>
  <si>
    <t>菜花至塅心通组路</t>
  </si>
  <si>
    <t>半坑组</t>
  </si>
  <si>
    <t>村道至下屋通组路</t>
  </si>
  <si>
    <t>桃源村</t>
  </si>
  <si>
    <t>垠背组</t>
  </si>
  <si>
    <t>新桥至垠背通组公路</t>
  </si>
  <si>
    <t>江屋组</t>
  </si>
  <si>
    <t>洞底至江屋通组公路</t>
  </si>
  <si>
    <t>下窝组</t>
  </si>
  <si>
    <t>村委会至下窝通组公路</t>
  </si>
  <si>
    <t>兰湖组</t>
  </si>
  <si>
    <t>棚下至兰湖通组公路</t>
  </si>
  <si>
    <t>井下组</t>
  </si>
  <si>
    <t>竹山至井下通组公路</t>
  </si>
  <si>
    <t>上棚组</t>
  </si>
  <si>
    <t>上棚至七号观景台</t>
  </si>
  <si>
    <t>坳坵组</t>
  </si>
  <si>
    <t>坳坵至下窝安置点</t>
  </si>
  <si>
    <t>望月村</t>
  </si>
  <si>
    <t>上坝组</t>
  </si>
  <si>
    <t>上坝至白毛洲通组路</t>
  </si>
  <si>
    <t>下坝组</t>
  </si>
  <si>
    <t>下坝至江屋通组路</t>
  </si>
  <si>
    <t>上坝至曾屋通组路</t>
  </si>
  <si>
    <t>曲洞组</t>
  </si>
  <si>
    <t>曲洞至槽下通组路</t>
  </si>
  <si>
    <t>附件3：</t>
  </si>
  <si>
    <r>
      <rPr>
        <sz val="16"/>
        <color indexed="8"/>
        <rFont val="方正小标宋简体"/>
        <charset val="134"/>
      </rPr>
      <t>遂川县未脱贫贫困村</t>
    </r>
    <r>
      <rPr>
        <sz val="16"/>
        <color indexed="8"/>
        <rFont val="Century Schoolbook"/>
        <charset val="134"/>
      </rPr>
      <t>2018</t>
    </r>
    <r>
      <rPr>
        <sz val="16"/>
        <color indexed="8"/>
        <rFont val="方正小标宋简体"/>
        <charset val="134"/>
      </rPr>
      <t>年安全饮水建设项目计划下达表</t>
    </r>
  </si>
  <si>
    <t>受益自然村</t>
  </si>
  <si>
    <t>受益户数</t>
  </si>
  <si>
    <t>受益人口数</t>
  </si>
  <si>
    <t>建议补助资金（万元）</t>
  </si>
  <si>
    <t>建设责任单位</t>
  </si>
  <si>
    <r>
      <rPr>
        <sz val="11"/>
        <color indexed="8"/>
        <rFont val="宋体"/>
        <charset val="134"/>
      </rPr>
      <t>西溪乡</t>
    </r>
  </si>
  <si>
    <r>
      <rPr>
        <sz val="11"/>
        <color indexed="8"/>
        <rFont val="宋体"/>
        <charset val="134"/>
      </rPr>
      <t>文坳村</t>
    </r>
  </si>
  <si>
    <r>
      <rPr>
        <sz val="11"/>
        <color indexed="8"/>
        <rFont val="宋体"/>
        <charset val="134"/>
      </rPr>
      <t>文坳村上庄分散供水工程</t>
    </r>
  </si>
  <si>
    <t>上庄</t>
  </si>
  <si>
    <t>西溪乡人民政府</t>
  </si>
  <si>
    <t>县水利局</t>
  </si>
  <si>
    <r>
      <rPr>
        <sz val="11"/>
        <color indexed="8"/>
        <rFont val="宋体"/>
        <charset val="134"/>
      </rPr>
      <t>文坳村下庄集中供水工程</t>
    </r>
  </si>
  <si>
    <r>
      <rPr>
        <sz val="11"/>
        <color indexed="8"/>
        <rFont val="宋体"/>
        <charset val="134"/>
      </rPr>
      <t>下庄</t>
    </r>
  </si>
  <si>
    <r>
      <rPr>
        <sz val="11"/>
        <color indexed="8"/>
        <rFont val="宋体"/>
        <charset val="134"/>
      </rPr>
      <t>文坳村象形集中供水工程</t>
    </r>
  </si>
  <si>
    <r>
      <rPr>
        <sz val="11"/>
        <color indexed="8"/>
        <rFont val="宋体"/>
        <charset val="134"/>
      </rPr>
      <t>象形、塘面</t>
    </r>
  </si>
  <si>
    <r>
      <rPr>
        <sz val="11"/>
        <color indexed="8"/>
        <rFont val="宋体"/>
        <charset val="134"/>
      </rPr>
      <t>营盘圩乡</t>
    </r>
  </si>
  <si>
    <r>
      <rPr>
        <sz val="11"/>
        <color indexed="8"/>
        <rFont val="宋体"/>
        <charset val="134"/>
      </rPr>
      <t>大夏村</t>
    </r>
  </si>
  <si>
    <r>
      <rPr>
        <sz val="11"/>
        <color indexed="8"/>
        <rFont val="宋体"/>
        <charset val="134"/>
      </rPr>
      <t>大夏村分散供水工程</t>
    </r>
  </si>
  <si>
    <t>小东坑、东坑、上洞、新屋、茶叶垅等</t>
  </si>
  <si>
    <t>营盘圩乡人民政府</t>
  </si>
  <si>
    <r>
      <rPr>
        <sz val="11"/>
        <color indexed="8"/>
        <rFont val="宋体"/>
        <charset val="134"/>
      </rPr>
      <t>禾源镇</t>
    </r>
  </si>
  <si>
    <r>
      <rPr>
        <sz val="11"/>
        <color indexed="8"/>
        <rFont val="宋体"/>
        <charset val="134"/>
      </rPr>
      <t>三溪村</t>
    </r>
  </si>
  <si>
    <r>
      <rPr>
        <sz val="11"/>
        <color indexed="8"/>
        <rFont val="宋体"/>
        <charset val="134"/>
      </rPr>
      <t>三溪村鸭坑集中供水改造工程</t>
    </r>
  </si>
  <si>
    <r>
      <rPr>
        <sz val="11"/>
        <color indexed="8"/>
        <rFont val="宋体"/>
        <charset val="134"/>
      </rPr>
      <t>鸭坑、高湾</t>
    </r>
    <r>
      <rPr>
        <sz val="11"/>
        <color indexed="8"/>
        <rFont val="Century Schoolbook"/>
        <charset val="134"/>
      </rPr>
      <t xml:space="preserve"> </t>
    </r>
    <r>
      <rPr>
        <sz val="11"/>
        <color indexed="8"/>
        <rFont val="宋体"/>
        <charset val="134"/>
      </rPr>
      <t>、安下等</t>
    </r>
  </si>
  <si>
    <t>禾源镇人民政府</t>
  </si>
  <si>
    <r>
      <rPr>
        <sz val="11"/>
        <color indexed="8"/>
        <rFont val="宋体"/>
        <charset val="134"/>
      </rPr>
      <t>三溪村横路集中供水改造工程</t>
    </r>
  </si>
  <si>
    <t>横路、坛下、富田、瑶蓬等</t>
  </si>
  <si>
    <r>
      <rPr>
        <sz val="11"/>
        <color indexed="8"/>
        <rFont val="宋体"/>
        <charset val="134"/>
      </rPr>
      <t>三溪村茶园分散供水工程</t>
    </r>
  </si>
  <si>
    <r>
      <rPr>
        <sz val="11"/>
        <color indexed="8"/>
        <rFont val="宋体"/>
        <charset val="134"/>
      </rPr>
      <t>茶园</t>
    </r>
  </si>
  <si>
    <r>
      <rPr>
        <sz val="11"/>
        <color indexed="8"/>
        <rFont val="宋体"/>
        <charset val="134"/>
      </rPr>
      <t>三溪村太平分散供水工程</t>
    </r>
  </si>
  <si>
    <r>
      <rPr>
        <sz val="11"/>
        <color indexed="8"/>
        <rFont val="宋体"/>
        <charset val="134"/>
      </rPr>
      <t>太平</t>
    </r>
  </si>
  <si>
    <r>
      <rPr>
        <sz val="11"/>
        <color indexed="8"/>
        <rFont val="宋体"/>
        <charset val="134"/>
      </rPr>
      <t>南江乡</t>
    </r>
  </si>
  <si>
    <r>
      <rPr>
        <sz val="11"/>
        <color indexed="8"/>
        <rFont val="宋体"/>
        <charset val="134"/>
      </rPr>
      <t>樟溪村</t>
    </r>
  </si>
  <si>
    <r>
      <rPr>
        <sz val="11"/>
        <color indexed="8"/>
        <rFont val="宋体"/>
        <charset val="134"/>
      </rPr>
      <t>樟溪村富坑集中供水改造工程</t>
    </r>
  </si>
  <si>
    <r>
      <rPr>
        <sz val="11"/>
        <color indexed="8"/>
        <rFont val="宋体"/>
        <charset val="134"/>
      </rPr>
      <t>富坑、富裕</t>
    </r>
  </si>
  <si>
    <t>南江乡人民政府</t>
  </si>
  <si>
    <t>备注：1、2018年集中供水工程由乡镇聘请设计单位进行设计，并按照招投标有关规定发包和采购管材。2、考虑分散供水工程点多面广，2018年分散供水工程建设计划为预测性计划，其建设资金由乡镇包干使用，乡镇可灵活采取乡镇自建、理事会代建、农户自建等形式。建成后，乡镇需做好有受益农户签名的花名册、建成前后照片、等资料。</t>
  </si>
  <si>
    <t>附件4：</t>
  </si>
  <si>
    <t>遂川县未脱贫贫困村2018年入户路建设项目计划下达表</t>
  </si>
  <si>
    <t>涉及农户户数（户）</t>
  </si>
  <si>
    <t>其中：贫困户户数（户）</t>
  </si>
  <si>
    <t>入户路硬化里程（米）</t>
  </si>
  <si>
    <t>二类</t>
  </si>
  <si>
    <t>入户路硬化</t>
  </si>
  <si>
    <t>米岭</t>
  </si>
  <si>
    <t>大汾镇人民政府</t>
  </si>
  <si>
    <t>县农工部</t>
  </si>
  <si>
    <t>大坑乡</t>
  </si>
  <si>
    <t>高倚村</t>
  </si>
  <si>
    <t>高倚</t>
  </si>
  <si>
    <t>大坑乡人民政府</t>
  </si>
  <si>
    <t>戴家埔乡人民政府</t>
  </si>
  <si>
    <t>全村</t>
  </si>
  <si>
    <t>堆子前镇人民政府</t>
  </si>
  <si>
    <t>三类</t>
  </si>
  <si>
    <t>明坑</t>
  </si>
  <si>
    <t>高坪镇人民政府</t>
  </si>
  <si>
    <t xml:space="preserve"> 营盘圩乡</t>
  </si>
  <si>
    <t>大夏村</t>
  </si>
  <si>
    <t>备注：本次计划为预测性计划，实际以验收为准。</t>
  </si>
  <si>
    <t>附件5：</t>
  </si>
  <si>
    <t>遂川县未脱贫贫困村2018年无害化卫生厕建设项目计划下达表</t>
  </si>
  <si>
    <t>拟建座数（座）</t>
  </si>
  <si>
    <t>无害化卫生厕</t>
  </si>
  <si>
    <t>县卫计委</t>
  </si>
  <si>
    <t>泉江镇人民政府</t>
  </si>
  <si>
    <t>营盘圩乡</t>
  </si>
  <si>
    <t>附件6：</t>
  </si>
  <si>
    <t>遂川县未脱贫贫困村2018年便民桥建设项目计划下达表</t>
  </si>
  <si>
    <t>主要建设内容及规模</t>
  </si>
  <si>
    <r>
      <rPr>
        <b/>
        <sz val="11"/>
        <color indexed="8"/>
        <rFont val="仿宋"/>
        <charset val="134"/>
      </rPr>
      <t>桥梁建设面积（M</t>
    </r>
    <r>
      <rPr>
        <b/>
        <vertAlign val="superscript"/>
        <sz val="11"/>
        <color indexed="8"/>
        <rFont val="仿宋"/>
        <charset val="134"/>
      </rPr>
      <t>2</t>
    </r>
    <r>
      <rPr>
        <b/>
        <sz val="11"/>
        <color indexed="8"/>
        <rFont val="仿宋"/>
        <charset val="134"/>
      </rPr>
      <t>）</t>
    </r>
  </si>
  <si>
    <t>茶园桥</t>
  </si>
  <si>
    <t>七岭村茶园组</t>
  </si>
  <si>
    <t>桥梁长17米，宽3米</t>
  </si>
  <si>
    <t>新建</t>
  </si>
  <si>
    <t>均坑便民桥</t>
  </si>
  <si>
    <t>七岭村白沙组</t>
  </si>
  <si>
    <t>桥梁长15米，宽3.5米</t>
  </si>
  <si>
    <t>庙前桥</t>
  </si>
  <si>
    <t>庙前60米</t>
  </si>
  <si>
    <t>桥梁长30米，宽6.5米</t>
  </si>
  <si>
    <t>重建</t>
  </si>
  <si>
    <t>村委会至高倚桥面加宽</t>
  </si>
  <si>
    <t>村委会门口</t>
  </si>
  <si>
    <t>桥梁长12米，宽2米</t>
  </si>
  <si>
    <t>加宽</t>
  </si>
  <si>
    <t>桥面加宽</t>
  </si>
  <si>
    <t>卜候至龟背</t>
  </si>
  <si>
    <t>桥梁长20米，宽2米</t>
  </si>
  <si>
    <t>塘玄段里便民桥</t>
  </si>
  <si>
    <t>桥梁长8米，宽1米</t>
  </si>
  <si>
    <t>便民桥1拓宽</t>
  </si>
  <si>
    <t>南坑口</t>
  </si>
  <si>
    <t>桥梁长12米，宽4米</t>
  </si>
  <si>
    <t>便民桥2拓宽</t>
  </si>
  <si>
    <t>何观兰下</t>
  </si>
  <si>
    <t>桥梁长9米，宽2米</t>
  </si>
  <si>
    <t>便民桥3拓宽</t>
  </si>
  <si>
    <t>何书昆门口</t>
  </si>
  <si>
    <t>便民桥4拓宽</t>
  </si>
  <si>
    <t>熊书均门口</t>
  </si>
  <si>
    <t>便民桥5拓宽</t>
  </si>
  <si>
    <t>何书贤门口</t>
  </si>
  <si>
    <t>新红桥拓宽</t>
  </si>
  <si>
    <t>新红组</t>
  </si>
  <si>
    <t>南溪片便民桥拓宽</t>
  </si>
  <si>
    <t>南溪片</t>
  </si>
  <si>
    <t>桥梁长7米，宽2米</t>
  </si>
  <si>
    <t>新建平板桥1</t>
  </si>
  <si>
    <t>卫生室门口</t>
  </si>
  <si>
    <t>桥梁长8米，宽5米</t>
  </si>
  <si>
    <t>新建平板桥2</t>
  </si>
  <si>
    <t>新红集中安置点</t>
  </si>
  <si>
    <t>桥梁长8米，宽4米</t>
  </si>
  <si>
    <t>上洞便民桥</t>
  </si>
  <si>
    <t>上洞组</t>
  </si>
  <si>
    <t>桥梁长15米，宽5米</t>
  </si>
  <si>
    <t>营盘圩乡政府</t>
  </si>
  <si>
    <t>塅心便民桥</t>
  </si>
  <si>
    <t>菜花组塅心</t>
  </si>
  <si>
    <t>桥梁长10米，宽4.5米</t>
  </si>
  <si>
    <t>河背便民桥</t>
  </si>
  <si>
    <t>菜花组河背</t>
  </si>
  <si>
    <t>桥梁长7米，宽4米</t>
  </si>
  <si>
    <t>上棚至梨垠便民桥</t>
  </si>
  <si>
    <t>上棚</t>
  </si>
  <si>
    <t>桥梁长10米，宽3.5米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</si>
</sst>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0_);[Red]\(0.000\)"/>
  </numFmts>
  <fonts count="42">
    <font>
      <sz val="12"/>
      <name val="宋体"/>
      <charset val="134"/>
    </font>
    <font>
      <b/>
      <sz val="12"/>
      <name val="宋体"/>
      <charset val="134"/>
    </font>
    <font>
      <b/>
      <sz val="11"/>
      <color indexed="8"/>
      <name val="仿宋"/>
      <charset val="134"/>
    </font>
    <font>
      <b/>
      <sz val="20"/>
      <color indexed="8"/>
      <name val="仿宋"/>
      <charset val="134"/>
    </font>
    <font>
      <b/>
      <sz val="11"/>
      <name val="仿宋"/>
      <charset val="134"/>
    </font>
    <font>
      <sz val="11"/>
      <name val="仿宋"/>
      <charset val="134"/>
    </font>
    <font>
      <sz val="11"/>
      <color indexed="8"/>
      <name val="仿宋"/>
      <charset val="134"/>
    </font>
    <font>
      <sz val="9"/>
      <name val="仿宋"/>
      <charset val="134"/>
    </font>
    <font>
      <sz val="9"/>
      <color indexed="8"/>
      <name val="仿宋"/>
      <charset val="134"/>
    </font>
    <font>
      <sz val="11"/>
      <color indexed="8"/>
      <name val="宋体"/>
      <charset val="134"/>
    </font>
    <font>
      <sz val="16"/>
      <color indexed="8"/>
      <name val="方正小标宋简体"/>
      <charset val="134"/>
    </font>
    <font>
      <sz val="16"/>
      <color indexed="8"/>
      <name val="Century Schoolbook"/>
      <charset val="134"/>
    </font>
    <font>
      <sz val="11"/>
      <color indexed="8"/>
      <name val="黑体"/>
      <charset val="134"/>
    </font>
    <font>
      <b/>
      <sz val="11"/>
      <color indexed="8"/>
      <name val="Century Schoolbook"/>
      <charset val="134"/>
    </font>
    <font>
      <b/>
      <sz val="11"/>
      <color indexed="8"/>
      <name val="宋体"/>
      <charset val="134"/>
    </font>
    <font>
      <sz val="11"/>
      <color indexed="8"/>
      <name val="Century Schoolbook"/>
      <charset val="134"/>
    </font>
    <font>
      <sz val="11"/>
      <name val="华文仿宋"/>
      <charset val="134"/>
    </font>
    <font>
      <sz val="16"/>
      <name val="华文仿宋"/>
      <charset val="134"/>
    </font>
    <font>
      <b/>
      <sz val="12"/>
      <color indexed="8"/>
      <name val="宋体"/>
      <charset val="134"/>
    </font>
    <font>
      <sz val="12"/>
      <color indexed="10"/>
      <name val="宋体"/>
      <charset val="134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0"/>
      <name val="Arial"/>
      <charset val="134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vertAlign val="superscript"/>
      <sz val="11"/>
      <color indexed="8"/>
      <name val="仿宋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6">
    <xf numFmtId="0" fontId="0" fillId="0" borderId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9" fillId="9" borderId="10" applyNumberFormat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17" borderId="14" applyNumberFormat="0" applyFont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2" fillId="13" borderId="12" applyNumberFormat="0" applyAlignment="0" applyProtection="0">
      <alignment vertical="center"/>
    </xf>
    <xf numFmtId="0" fontId="36" fillId="13" borderId="10" applyNumberFormat="0" applyAlignment="0" applyProtection="0">
      <alignment vertical="center"/>
    </xf>
    <xf numFmtId="0" fontId="38" fillId="27" borderId="15" applyNumberFormat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9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32" applyFont="1" applyFill="1" applyAlignment="1">
      <alignment horizontal="left" vertical="center"/>
    </xf>
    <xf numFmtId="0" fontId="3" fillId="0" borderId="1" xfId="32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2" xfId="32" applyFont="1" applyFill="1" applyBorder="1" applyAlignment="1">
      <alignment horizontal="center" vertical="center" wrapText="1"/>
    </xf>
    <xf numFmtId="0" fontId="2" fillId="0" borderId="2" xfId="53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3" xfId="11" applyFont="1" applyFill="1" applyBorder="1" applyAlignment="1">
      <alignment horizontal="center" vertical="center" wrapText="1"/>
    </xf>
    <xf numFmtId="0" fontId="6" fillId="0" borderId="2" xfId="11" applyFont="1" applyFill="1" applyBorder="1" applyAlignment="1">
      <alignment horizontal="center" vertical="center" wrapText="1"/>
    </xf>
    <xf numFmtId="0" fontId="6" fillId="0" borderId="3" xfId="13" applyFont="1" applyFill="1" applyBorder="1" applyAlignment="1">
      <alignment horizontal="center" vertical="center" wrapText="1"/>
    </xf>
    <xf numFmtId="0" fontId="6" fillId="0" borderId="2" xfId="13" applyFont="1" applyFill="1" applyBorder="1" applyAlignment="1">
      <alignment horizontal="center" vertical="center" wrapText="1"/>
    </xf>
    <xf numFmtId="0" fontId="6" fillId="0" borderId="4" xfId="13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32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0" xfId="32" applyFont="1" applyAlignment="1">
      <alignment horizontal="left" vertical="center"/>
    </xf>
    <xf numFmtId="0" fontId="3" fillId="0" borderId="0" xfId="32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32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2" borderId="2" xfId="11" applyFont="1" applyFill="1" applyBorder="1" applyAlignment="1">
      <alignment horizontal="center" vertical="center" wrapText="1"/>
    </xf>
    <xf numFmtId="0" fontId="6" fillId="2" borderId="2" xfId="13" applyFont="1" applyFill="1" applyBorder="1" applyAlignment="1">
      <alignment horizontal="center" vertical="center" wrapText="1"/>
    </xf>
    <xf numFmtId="0" fontId="6" fillId="2" borderId="2" xfId="32" applyFont="1" applyFill="1" applyBorder="1" applyAlignment="1">
      <alignment horizontal="center" vertical="center" wrapText="1"/>
    </xf>
    <xf numFmtId="0" fontId="2" fillId="2" borderId="2" xfId="1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2" fillId="0" borderId="2" xfId="53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8" fillId="2" borderId="2" xfId="11" applyFon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Alignment="1">
      <alignment vertical="center"/>
    </xf>
    <xf numFmtId="0" fontId="0" fillId="0" borderId="0" xfId="0" applyBorder="1">
      <alignment vertical="center"/>
    </xf>
    <xf numFmtId="0" fontId="9" fillId="3" borderId="0" xfId="52" applyNumberFormat="1" applyFont="1" applyFill="1" applyBorder="1" applyAlignment="1" applyProtection="1">
      <alignment horizontal="center" vertical="center" wrapText="1"/>
      <protection locked="0"/>
    </xf>
    <xf numFmtId="0" fontId="2" fillId="3" borderId="0" xfId="52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/>
    </xf>
    <xf numFmtId="0" fontId="10" fillId="0" borderId="0" xfId="53" applyFont="1" applyBorder="1" applyAlignment="1">
      <alignment horizontal="center" vertical="center"/>
    </xf>
    <xf numFmtId="0" fontId="11" fillId="0" borderId="0" xfId="53" applyFont="1" applyBorder="1" applyAlignment="1">
      <alignment horizontal="center" vertical="center"/>
    </xf>
    <xf numFmtId="0" fontId="12" fillId="0" borderId="2" xfId="53" applyFont="1" applyFill="1" applyBorder="1" applyAlignment="1">
      <alignment horizontal="center" vertical="center" wrapText="1"/>
    </xf>
    <xf numFmtId="0" fontId="13" fillId="0" borderId="2" xfId="53" applyFont="1" applyBorder="1" applyAlignment="1">
      <alignment horizontal="center" vertical="center" wrapText="1"/>
    </xf>
    <xf numFmtId="0" fontId="14" fillId="0" borderId="2" xfId="53" applyFont="1" applyBorder="1" applyAlignment="1">
      <alignment horizontal="center" vertical="center" wrapText="1"/>
    </xf>
    <xf numFmtId="0" fontId="13" fillId="0" borderId="2" xfId="53" applyFont="1" applyBorder="1" applyAlignment="1">
      <alignment vertical="center" wrapText="1"/>
    </xf>
    <xf numFmtId="2" fontId="13" fillId="0" borderId="2" xfId="53" applyNumberFormat="1" applyFont="1" applyBorder="1" applyAlignment="1">
      <alignment horizontal="center" vertical="center" wrapText="1"/>
    </xf>
    <xf numFmtId="0" fontId="15" fillId="0" borderId="2" xfId="53" applyFont="1" applyBorder="1" applyAlignment="1">
      <alignment horizontal="center" vertical="center" wrapText="1"/>
    </xf>
    <xf numFmtId="0" fontId="15" fillId="4" borderId="2" xfId="53" applyFont="1" applyFill="1" applyBorder="1" applyAlignment="1">
      <alignment horizontal="center" vertical="center" wrapText="1"/>
    </xf>
    <xf numFmtId="0" fontId="9" fillId="4" borderId="2" xfId="53" applyFont="1" applyFill="1" applyBorder="1" applyAlignment="1">
      <alignment horizontal="center" vertical="center" wrapText="1"/>
    </xf>
    <xf numFmtId="2" fontId="15" fillId="4" borderId="2" xfId="53" applyNumberFormat="1" applyFont="1" applyFill="1" applyBorder="1" applyAlignment="1">
      <alignment horizontal="center" vertical="center"/>
    </xf>
    <xf numFmtId="0" fontId="16" fillId="0" borderId="5" xfId="0" applyFont="1" applyBorder="1" applyAlignment="1">
      <alignment horizontal="left" vertical="center" wrapText="1"/>
    </xf>
    <xf numFmtId="0" fontId="17" fillId="0" borderId="0" xfId="0" applyFont="1">
      <alignment vertical="center"/>
    </xf>
    <xf numFmtId="0" fontId="13" fillId="0" borderId="2" xfId="53" applyFont="1" applyBorder="1">
      <alignment vertical="center"/>
    </xf>
    <xf numFmtId="2" fontId="9" fillId="4" borderId="2" xfId="53" applyNumberFormat="1" applyFont="1" applyFill="1" applyBorder="1" applyAlignment="1">
      <alignment horizontal="center" vertical="center"/>
    </xf>
    <xf numFmtId="0" fontId="15" fillId="4" borderId="2" xfId="53" applyFont="1" applyFill="1" applyBorder="1" applyAlignment="1">
      <alignment vertical="center" wrapText="1"/>
    </xf>
    <xf numFmtId="0" fontId="15" fillId="4" borderId="2" xfId="53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53" applyFont="1" applyAlignment="1">
      <alignment horizontal="left" vertical="center" wrapText="1"/>
    </xf>
    <xf numFmtId="0" fontId="18" fillId="0" borderId="0" xfId="53" applyFont="1" applyAlignment="1">
      <alignment vertical="center" wrapText="1"/>
    </xf>
    <xf numFmtId="0" fontId="3" fillId="0" borderId="1" xfId="53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" xfId="13" applyFont="1" applyFill="1" applyBorder="1" applyAlignment="1">
      <alignment horizontal="center" vertical="center" wrapText="1"/>
    </xf>
    <xf numFmtId="0" fontId="6" fillId="0" borderId="2" xfId="11" applyFont="1" applyBorder="1" applyAlignment="1">
      <alignment horizontal="center" vertical="center" wrapText="1"/>
    </xf>
    <xf numFmtId="0" fontId="9" fillId="0" borderId="0" xfId="53" applyAlignment="1">
      <alignment horizontal="center" vertical="center" wrapText="1"/>
    </xf>
    <xf numFmtId="0" fontId="6" fillId="0" borderId="2" xfId="13" applyFont="1" applyFill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" fillId="0" borderId="0" xfId="55" applyFont="1" applyAlignment="1">
      <alignment horizontal="left" vertical="center" wrapText="1"/>
    </xf>
    <xf numFmtId="0" fontId="18" fillId="0" borderId="0" xfId="55" applyFont="1" applyAlignment="1">
      <alignment vertical="center" wrapText="1"/>
    </xf>
    <xf numFmtId="0" fontId="3" fillId="0" borderId="1" xfId="55" applyFont="1" applyBorder="1" applyAlignment="1">
      <alignment horizontal="center" vertical="center" wrapText="1"/>
    </xf>
    <xf numFmtId="0" fontId="2" fillId="0" borderId="2" xfId="55" applyFont="1" applyBorder="1" applyAlignment="1">
      <alignment horizontal="center" vertical="center" wrapText="1"/>
    </xf>
    <xf numFmtId="0" fontId="2" fillId="0" borderId="2" xfId="55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5" fillId="0" borderId="2" xfId="54" applyFont="1" applyFill="1" applyBorder="1" applyAlignment="1">
      <alignment horizontal="center" vertical="center" wrapText="1"/>
    </xf>
    <xf numFmtId="0" fontId="5" fillId="0" borderId="2" xfId="55" applyFont="1" applyFill="1" applyBorder="1" applyAlignment="1">
      <alignment horizontal="center" vertical="center" wrapText="1"/>
    </xf>
    <xf numFmtId="0" fontId="5" fillId="0" borderId="2" xfId="13" applyFont="1" applyFill="1" applyBorder="1" applyAlignment="1">
      <alignment horizontal="center" vertical="center" wrapText="1"/>
    </xf>
    <xf numFmtId="176" fontId="0" fillId="0" borderId="0" xfId="0" applyNumberFormat="1" applyAlignment="1">
      <alignment vertical="center" wrapText="1"/>
    </xf>
    <xf numFmtId="0" fontId="9" fillId="0" borderId="0" xfId="55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2 2" xfId="11"/>
    <cellStyle name="百分比" xfId="12" builtinId="5"/>
    <cellStyle name="常规_Sheet1 2" xfId="13"/>
    <cellStyle name="已访问的超链接" xfId="14" builtinId="9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常规_Sheet2" xfId="32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常规 3" xfId="52"/>
    <cellStyle name="常规_Sheet1" xfId="53"/>
    <cellStyle name="常规_Sheet1 2_2018年17个预脱贫贫困村交通基础设施建设扶贫项目申报表" xfId="54"/>
    <cellStyle name="常规_Sheet1_2018年17个预脱贫贫困村交通基础设施建设扶贫项目申报表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5"/>
  <sheetViews>
    <sheetView workbookViewId="0">
      <selection activeCell="H17" sqref="H17"/>
    </sheetView>
  </sheetViews>
  <sheetFormatPr defaultColWidth="9" defaultRowHeight="14.25"/>
  <cols>
    <col min="1" max="1" width="5.125" style="71" customWidth="1"/>
    <col min="2" max="2" width="9.5" style="40" customWidth="1"/>
    <col min="3" max="3" width="8.125" style="40" customWidth="1"/>
    <col min="4" max="4" width="7.875" style="40" customWidth="1"/>
    <col min="5" max="5" width="7" style="40" customWidth="1"/>
    <col min="6" max="6" width="23.5" style="40" customWidth="1"/>
    <col min="7" max="7" width="7.75" style="40" customWidth="1"/>
    <col min="8" max="8" width="5.75" style="40" customWidth="1"/>
    <col min="9" max="9" width="8.5" style="40" customWidth="1"/>
    <col min="10" max="10" width="8.875" style="40" customWidth="1"/>
    <col min="11" max="11" width="8" style="40" customWidth="1"/>
    <col min="12" max="12" width="8.25" style="40" customWidth="1"/>
    <col min="13" max="13" width="8.375" style="40" customWidth="1"/>
    <col min="14" max="14" width="10" style="40" customWidth="1"/>
    <col min="15" max="15" width="9" style="40"/>
    <col min="16" max="17" width="10.5" style="40" customWidth="1"/>
    <col min="18" max="16384" width="9" style="40"/>
  </cols>
  <sheetData>
    <row r="1" ht="24.75" customHeight="1" spans="1:14">
      <c r="A1" s="81" t="s">
        <v>0</v>
      </c>
      <c r="B1" s="81"/>
      <c r="C1" s="81"/>
      <c r="D1" s="82"/>
      <c r="E1" s="82"/>
      <c r="F1" s="82"/>
      <c r="G1" s="82"/>
      <c r="H1" s="82"/>
      <c r="I1" s="82"/>
      <c r="J1" s="82"/>
      <c r="K1" s="82"/>
      <c r="L1" s="82"/>
      <c r="M1" s="82"/>
      <c r="N1" s="94"/>
    </row>
    <row r="2" ht="51.75" customHeight="1" spans="1:14">
      <c r="A2" s="83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ht="70.5" customHeight="1" spans="1:14">
      <c r="A3" s="31" t="s">
        <v>2</v>
      </c>
      <c r="B3" s="84" t="s">
        <v>3</v>
      </c>
      <c r="C3" s="84" t="s">
        <v>4</v>
      </c>
      <c r="D3" s="84" t="s">
        <v>5</v>
      </c>
      <c r="E3" s="84" t="s">
        <v>6</v>
      </c>
      <c r="F3" s="84" t="s">
        <v>7</v>
      </c>
      <c r="G3" s="85" t="s">
        <v>8</v>
      </c>
      <c r="H3" s="84" t="s">
        <v>9</v>
      </c>
      <c r="I3" s="84" t="s">
        <v>10</v>
      </c>
      <c r="J3" s="84" t="s">
        <v>11</v>
      </c>
      <c r="K3" s="84" t="s">
        <v>12</v>
      </c>
      <c r="L3" s="84" t="s">
        <v>13</v>
      </c>
      <c r="M3" s="84" t="s">
        <v>14</v>
      </c>
      <c r="N3" s="84" t="s">
        <v>15</v>
      </c>
    </row>
    <row r="4" ht="30" hidden="1" customHeight="1" spans="1:14">
      <c r="A4" s="86" t="s">
        <v>16</v>
      </c>
      <c r="B4" s="87"/>
      <c r="C4" s="88"/>
      <c r="D4" s="84"/>
      <c r="E4" s="84"/>
      <c r="F4" s="84"/>
      <c r="G4" s="85"/>
      <c r="H4" s="84"/>
      <c r="I4" s="84">
        <f>SUM(I5:I8)</f>
        <v>14</v>
      </c>
      <c r="J4" s="84"/>
      <c r="K4" s="84">
        <f>SUM(K5:K8)</f>
        <v>490</v>
      </c>
      <c r="L4" s="84"/>
      <c r="M4" s="84"/>
      <c r="N4" s="84"/>
    </row>
    <row r="5" s="80" customFormat="1" ht="30" hidden="1" customHeight="1" spans="1:14">
      <c r="A5" s="89">
        <v>1</v>
      </c>
      <c r="B5" s="90" t="s">
        <v>17</v>
      </c>
      <c r="C5" s="90" t="s">
        <v>18</v>
      </c>
      <c r="D5" s="90" t="s">
        <v>18</v>
      </c>
      <c r="E5" s="90" t="s">
        <v>19</v>
      </c>
      <c r="F5" s="90" t="s">
        <v>20</v>
      </c>
      <c r="G5" s="17" t="s">
        <v>21</v>
      </c>
      <c r="H5" s="90" t="s">
        <v>22</v>
      </c>
      <c r="I5" s="90">
        <v>5.5</v>
      </c>
      <c r="J5" s="90" t="s">
        <v>23</v>
      </c>
      <c r="K5" s="90">
        <v>192.5</v>
      </c>
      <c r="L5" s="90" t="s">
        <v>24</v>
      </c>
      <c r="M5" s="90" t="s">
        <v>25</v>
      </c>
      <c r="N5" s="90"/>
    </row>
    <row r="6" s="80" customFormat="1" ht="30" hidden="1" customHeight="1" spans="1:14">
      <c r="A6" s="89">
        <v>2</v>
      </c>
      <c r="B6" s="90" t="s">
        <v>17</v>
      </c>
      <c r="C6" s="90" t="s">
        <v>18</v>
      </c>
      <c r="D6" s="90" t="s">
        <v>18</v>
      </c>
      <c r="E6" s="90" t="s">
        <v>19</v>
      </c>
      <c r="F6" s="90" t="s">
        <v>26</v>
      </c>
      <c r="G6" s="17" t="s">
        <v>21</v>
      </c>
      <c r="H6" s="90" t="s">
        <v>22</v>
      </c>
      <c r="I6" s="90">
        <v>3.5</v>
      </c>
      <c r="J6" s="90" t="s">
        <v>27</v>
      </c>
      <c r="K6" s="90">
        <v>122.5</v>
      </c>
      <c r="L6" s="90" t="s">
        <v>28</v>
      </c>
      <c r="M6" s="90" t="s">
        <v>25</v>
      </c>
      <c r="N6" s="90"/>
    </row>
    <row r="7" s="80" customFormat="1" ht="30" hidden="1" customHeight="1" spans="1:14">
      <c r="A7" s="89">
        <v>3</v>
      </c>
      <c r="B7" s="91" t="s">
        <v>29</v>
      </c>
      <c r="C7" s="91" t="s">
        <v>30</v>
      </c>
      <c r="D7" s="91" t="s">
        <v>31</v>
      </c>
      <c r="E7" s="91" t="s">
        <v>32</v>
      </c>
      <c r="F7" s="91" t="s">
        <v>33</v>
      </c>
      <c r="G7" s="17" t="s">
        <v>21</v>
      </c>
      <c r="H7" s="91" t="s">
        <v>22</v>
      </c>
      <c r="I7" s="91">
        <v>1.1</v>
      </c>
      <c r="J7" s="91" t="s">
        <v>27</v>
      </c>
      <c r="K7" s="90">
        <v>38.5</v>
      </c>
      <c r="L7" s="75" t="s">
        <v>34</v>
      </c>
      <c r="M7" s="90" t="s">
        <v>25</v>
      </c>
      <c r="N7" s="95"/>
    </row>
    <row r="8" s="80" customFormat="1" ht="30" customHeight="1" spans="1:17">
      <c r="A8" s="89">
        <v>4</v>
      </c>
      <c r="B8" s="92" t="s">
        <v>35</v>
      </c>
      <c r="C8" s="92" t="s">
        <v>36</v>
      </c>
      <c r="D8" s="92" t="s">
        <v>36</v>
      </c>
      <c r="E8" s="92" t="s">
        <v>32</v>
      </c>
      <c r="F8" s="92" t="s">
        <v>37</v>
      </c>
      <c r="G8" s="17" t="s">
        <v>21</v>
      </c>
      <c r="H8" s="92" t="s">
        <v>22</v>
      </c>
      <c r="I8" s="92">
        <v>3.9</v>
      </c>
      <c r="J8" s="92" t="s">
        <v>27</v>
      </c>
      <c r="K8" s="90">
        <v>136.5</v>
      </c>
      <c r="L8" s="92" t="s">
        <v>38</v>
      </c>
      <c r="M8" s="90" t="s">
        <v>25</v>
      </c>
      <c r="N8" s="95"/>
      <c r="Q8" s="96"/>
    </row>
    <row r="15" spans="7:16">
      <c r="G15" s="93"/>
      <c r="P15" s="93"/>
    </row>
  </sheetData>
  <autoFilter ref="A3:Q8">
    <filterColumn colId="1">
      <customFilters>
        <customFilter operator="equal" val="左安镇"/>
      </customFilters>
    </filterColumn>
    <extLst/>
  </autoFilter>
  <mergeCells count="3">
    <mergeCell ref="A1:C1"/>
    <mergeCell ref="A2:N2"/>
    <mergeCell ref="A4:C4"/>
  </mergeCells>
  <pageMargins left="0.55" right="0.55" top="0.984027777777778" bottom="0.984027777777778" header="0.511805555555556" footer="0.511805555555556"/>
  <pageSetup paperSize="9" orientation="landscape"/>
  <headerFooter alignWithMargins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42"/>
  <sheetViews>
    <sheetView topLeftCell="A34" workbookViewId="0">
      <selection activeCell="K22" sqref="K22:K41"/>
    </sheetView>
  </sheetViews>
  <sheetFormatPr defaultColWidth="9" defaultRowHeight="14.25"/>
  <cols>
    <col min="1" max="1" width="5.125" style="71" customWidth="1"/>
    <col min="2" max="2" width="8.25" style="40" customWidth="1"/>
    <col min="3" max="3" width="7.375" style="40" customWidth="1"/>
    <col min="4" max="4" width="9" style="40"/>
    <col min="5" max="5" width="8.375" style="40" customWidth="1"/>
    <col min="6" max="6" width="19" style="40" customWidth="1"/>
    <col min="7" max="7" width="7.625" style="40" customWidth="1"/>
    <col min="8" max="8" width="7.125" style="40" customWidth="1"/>
    <col min="9" max="9" width="7.625" style="40" customWidth="1"/>
    <col min="10" max="10" width="8.5" style="40" customWidth="1"/>
    <col min="11" max="11" width="9.375" style="40" customWidth="1"/>
    <col min="12" max="13" width="7.875" style="40" customWidth="1"/>
    <col min="14" max="14" width="11.75" style="40" customWidth="1"/>
    <col min="15" max="16384" width="9" style="40"/>
  </cols>
  <sheetData>
    <row r="1" ht="18.75" customHeight="1" spans="1:14">
      <c r="A1" s="72" t="s">
        <v>39</v>
      </c>
      <c r="B1" s="72"/>
      <c r="C1" s="72"/>
      <c r="D1" s="73"/>
      <c r="E1" s="73"/>
      <c r="F1" s="73"/>
      <c r="G1" s="73"/>
      <c r="H1" s="73"/>
      <c r="I1" s="73"/>
      <c r="J1" s="73"/>
      <c r="K1" s="73"/>
      <c r="L1" s="73"/>
      <c r="M1" s="73"/>
      <c r="N1" s="78"/>
    </row>
    <row r="2" ht="38.25" customHeight="1" spans="1:14">
      <c r="A2" s="74" t="s">
        <v>40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ht="76.5" customHeight="1" spans="1:14">
      <c r="A3" s="75" t="s">
        <v>2</v>
      </c>
      <c r="B3" s="30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8" t="s">
        <v>8</v>
      </c>
      <c r="H3" s="30" t="s">
        <v>9</v>
      </c>
      <c r="I3" s="30" t="s">
        <v>10</v>
      </c>
      <c r="J3" s="30" t="s">
        <v>41</v>
      </c>
      <c r="K3" s="30" t="s">
        <v>12</v>
      </c>
      <c r="L3" s="30" t="s">
        <v>13</v>
      </c>
      <c r="M3" s="30" t="s">
        <v>14</v>
      </c>
      <c r="N3" s="30" t="s">
        <v>15</v>
      </c>
    </row>
    <row r="4" ht="30" hidden="1" customHeight="1" spans="1:14">
      <c r="A4" s="75">
        <v>1</v>
      </c>
      <c r="B4" s="14" t="s">
        <v>42</v>
      </c>
      <c r="C4" s="14" t="s">
        <v>43</v>
      </c>
      <c r="D4" s="14" t="s">
        <v>44</v>
      </c>
      <c r="E4" s="14" t="s">
        <v>19</v>
      </c>
      <c r="F4" s="14" t="s">
        <v>45</v>
      </c>
      <c r="G4" s="17" t="s">
        <v>21</v>
      </c>
      <c r="H4" s="14" t="s">
        <v>22</v>
      </c>
      <c r="I4" s="14">
        <v>0.85</v>
      </c>
      <c r="J4" s="14">
        <v>3.5</v>
      </c>
      <c r="K4" s="14">
        <v>25.5</v>
      </c>
      <c r="L4" s="14" t="s">
        <v>46</v>
      </c>
      <c r="M4" s="14" t="s">
        <v>25</v>
      </c>
      <c r="N4" s="79"/>
    </row>
    <row r="5" ht="30" hidden="1" customHeight="1" spans="1:14">
      <c r="A5" s="75">
        <v>2</v>
      </c>
      <c r="B5" s="14" t="s">
        <v>42</v>
      </c>
      <c r="C5" s="14" t="s">
        <v>43</v>
      </c>
      <c r="D5" s="14" t="s">
        <v>47</v>
      </c>
      <c r="E5" s="14" t="s">
        <v>19</v>
      </c>
      <c r="F5" s="14" t="s">
        <v>48</v>
      </c>
      <c r="G5" s="17" t="s">
        <v>21</v>
      </c>
      <c r="H5" s="14" t="s">
        <v>49</v>
      </c>
      <c r="I5" s="14">
        <v>0.45</v>
      </c>
      <c r="J5" s="14">
        <v>3.5</v>
      </c>
      <c r="K5" s="14">
        <v>13.5</v>
      </c>
      <c r="L5" s="14" t="s">
        <v>46</v>
      </c>
      <c r="M5" s="14" t="s">
        <v>25</v>
      </c>
      <c r="N5" s="79"/>
    </row>
    <row r="6" ht="30" hidden="1" customHeight="1" spans="1:14">
      <c r="A6" s="75">
        <v>3</v>
      </c>
      <c r="B6" s="14" t="s">
        <v>42</v>
      </c>
      <c r="C6" s="14" t="s">
        <v>43</v>
      </c>
      <c r="D6" s="14" t="s">
        <v>50</v>
      </c>
      <c r="E6" s="14" t="s">
        <v>19</v>
      </c>
      <c r="F6" s="14" t="s">
        <v>51</v>
      </c>
      <c r="G6" s="17" t="s">
        <v>21</v>
      </c>
      <c r="H6" s="14" t="s">
        <v>22</v>
      </c>
      <c r="I6" s="14">
        <v>0.9</v>
      </c>
      <c r="J6" s="14">
        <v>3.5</v>
      </c>
      <c r="K6" s="14">
        <v>27</v>
      </c>
      <c r="L6" s="14" t="s">
        <v>46</v>
      </c>
      <c r="M6" s="14" t="s">
        <v>25</v>
      </c>
      <c r="N6" s="79"/>
    </row>
    <row r="7" ht="30" hidden="1" customHeight="1" spans="1:14">
      <c r="A7" s="75">
        <v>4</v>
      </c>
      <c r="B7" s="14" t="s">
        <v>42</v>
      </c>
      <c r="C7" s="14" t="s">
        <v>43</v>
      </c>
      <c r="D7" s="14" t="s">
        <v>52</v>
      </c>
      <c r="E7" s="14" t="s">
        <v>19</v>
      </c>
      <c r="F7" s="14" t="s">
        <v>53</v>
      </c>
      <c r="G7" s="17" t="s">
        <v>21</v>
      </c>
      <c r="H7" s="14" t="s">
        <v>49</v>
      </c>
      <c r="I7" s="14">
        <v>0.5</v>
      </c>
      <c r="J7" s="14">
        <v>3.5</v>
      </c>
      <c r="K7" s="14">
        <v>15</v>
      </c>
      <c r="L7" s="14" t="s">
        <v>46</v>
      </c>
      <c r="M7" s="14" t="s">
        <v>25</v>
      </c>
      <c r="N7" s="79"/>
    </row>
    <row r="8" s="68" customFormat="1" ht="30" hidden="1" customHeight="1" spans="1:14">
      <c r="A8" s="75">
        <v>5</v>
      </c>
      <c r="B8" s="14" t="s">
        <v>54</v>
      </c>
      <c r="C8" s="14" t="s">
        <v>55</v>
      </c>
      <c r="D8" s="14" t="s">
        <v>56</v>
      </c>
      <c r="E8" s="14" t="s">
        <v>19</v>
      </c>
      <c r="F8" s="14" t="s">
        <v>57</v>
      </c>
      <c r="G8" s="17" t="s">
        <v>21</v>
      </c>
      <c r="H8" s="14" t="s">
        <v>22</v>
      </c>
      <c r="I8" s="14">
        <v>1.3</v>
      </c>
      <c r="J8" s="14">
        <v>3.5</v>
      </c>
      <c r="K8" s="14">
        <v>39</v>
      </c>
      <c r="L8" s="14" t="s">
        <v>58</v>
      </c>
      <c r="M8" s="14" t="s">
        <v>25</v>
      </c>
      <c r="N8" s="14"/>
    </row>
    <row r="9" s="68" customFormat="1" ht="30" hidden="1" customHeight="1" spans="1:14">
      <c r="A9" s="75">
        <v>6</v>
      </c>
      <c r="B9" s="14" t="s">
        <v>54</v>
      </c>
      <c r="C9" s="14" t="s">
        <v>55</v>
      </c>
      <c r="D9" s="14" t="s">
        <v>59</v>
      </c>
      <c r="E9" s="14" t="s">
        <v>19</v>
      </c>
      <c r="F9" s="14" t="s">
        <v>60</v>
      </c>
      <c r="G9" s="17" t="s">
        <v>21</v>
      </c>
      <c r="H9" s="14" t="s">
        <v>22</v>
      </c>
      <c r="I9" s="14">
        <v>0.56</v>
      </c>
      <c r="J9" s="14">
        <v>3.5</v>
      </c>
      <c r="K9" s="14">
        <v>16.8</v>
      </c>
      <c r="L9" s="14" t="s">
        <v>58</v>
      </c>
      <c r="M9" s="14" t="s">
        <v>25</v>
      </c>
      <c r="N9" s="14"/>
    </row>
    <row r="10" s="68" customFormat="1" ht="30" hidden="1" customHeight="1" spans="1:14">
      <c r="A10" s="75">
        <v>7</v>
      </c>
      <c r="B10" s="14" t="s">
        <v>54</v>
      </c>
      <c r="C10" s="14" t="s">
        <v>55</v>
      </c>
      <c r="D10" s="14" t="s">
        <v>61</v>
      </c>
      <c r="E10" s="14" t="s">
        <v>19</v>
      </c>
      <c r="F10" s="14" t="s">
        <v>62</v>
      </c>
      <c r="G10" s="17" t="s">
        <v>21</v>
      </c>
      <c r="H10" s="14" t="s">
        <v>22</v>
      </c>
      <c r="I10" s="14">
        <v>0.54</v>
      </c>
      <c r="J10" s="14">
        <v>3.5</v>
      </c>
      <c r="K10" s="14">
        <v>16.2</v>
      </c>
      <c r="L10" s="14" t="s">
        <v>58</v>
      </c>
      <c r="M10" s="14" t="s">
        <v>25</v>
      </c>
      <c r="N10" s="14"/>
    </row>
    <row r="11" s="68" customFormat="1" ht="30" hidden="1" customHeight="1" spans="1:14">
      <c r="A11" s="75">
        <v>8</v>
      </c>
      <c r="B11" s="14" t="s">
        <v>54</v>
      </c>
      <c r="C11" s="14" t="s">
        <v>55</v>
      </c>
      <c r="D11" s="14" t="s">
        <v>63</v>
      </c>
      <c r="E11" s="14" t="s">
        <v>19</v>
      </c>
      <c r="F11" s="14" t="s">
        <v>64</v>
      </c>
      <c r="G11" s="17" t="s">
        <v>21</v>
      </c>
      <c r="H11" s="14" t="s">
        <v>22</v>
      </c>
      <c r="I11" s="14">
        <v>0.3</v>
      </c>
      <c r="J11" s="14">
        <v>3.5</v>
      </c>
      <c r="K11" s="14">
        <v>9</v>
      </c>
      <c r="L11" s="14" t="s">
        <v>58</v>
      </c>
      <c r="M11" s="14" t="s">
        <v>25</v>
      </c>
      <c r="N11" s="14"/>
    </row>
    <row r="12" ht="30" hidden="1" customHeight="1" spans="1:14">
      <c r="A12" s="75">
        <v>9</v>
      </c>
      <c r="B12" s="14" t="s">
        <v>17</v>
      </c>
      <c r="C12" s="14" t="s">
        <v>18</v>
      </c>
      <c r="D12" s="14" t="s">
        <v>65</v>
      </c>
      <c r="E12" s="14" t="s">
        <v>19</v>
      </c>
      <c r="F12" s="14" t="s">
        <v>66</v>
      </c>
      <c r="G12" s="17" t="s">
        <v>21</v>
      </c>
      <c r="H12" s="14" t="s">
        <v>22</v>
      </c>
      <c r="I12" s="14">
        <v>0.3</v>
      </c>
      <c r="J12" s="14">
        <v>3.5</v>
      </c>
      <c r="K12" s="14">
        <v>9</v>
      </c>
      <c r="L12" s="14" t="s">
        <v>24</v>
      </c>
      <c r="M12" s="14" t="s">
        <v>25</v>
      </c>
      <c r="N12" s="14"/>
    </row>
    <row r="13" ht="30" hidden="1" customHeight="1" spans="1:14">
      <c r="A13" s="75">
        <v>10</v>
      </c>
      <c r="B13" s="14" t="s">
        <v>67</v>
      </c>
      <c r="C13" s="14" t="s">
        <v>68</v>
      </c>
      <c r="D13" s="17" t="s">
        <v>69</v>
      </c>
      <c r="E13" s="14" t="s">
        <v>32</v>
      </c>
      <c r="F13" s="76" t="s">
        <v>70</v>
      </c>
      <c r="G13" s="17" t="s">
        <v>21</v>
      </c>
      <c r="H13" s="14" t="s">
        <v>49</v>
      </c>
      <c r="I13" s="14">
        <v>0.21</v>
      </c>
      <c r="J13" s="14">
        <v>3.5</v>
      </c>
      <c r="K13" s="14">
        <v>7.35</v>
      </c>
      <c r="L13" s="14" t="s">
        <v>71</v>
      </c>
      <c r="M13" s="14" t="s">
        <v>25</v>
      </c>
      <c r="N13" s="14"/>
    </row>
    <row r="14" ht="30" hidden="1" customHeight="1" spans="1:14">
      <c r="A14" s="75">
        <v>11</v>
      </c>
      <c r="B14" s="14" t="s">
        <v>67</v>
      </c>
      <c r="C14" s="14" t="s">
        <v>68</v>
      </c>
      <c r="D14" s="14" t="s">
        <v>69</v>
      </c>
      <c r="E14" s="14" t="s">
        <v>32</v>
      </c>
      <c r="F14" s="14" t="s">
        <v>72</v>
      </c>
      <c r="G14" s="12"/>
      <c r="H14" s="14"/>
      <c r="I14" s="14">
        <v>0.2</v>
      </c>
      <c r="J14" s="14">
        <v>3.5</v>
      </c>
      <c r="K14" s="14">
        <v>7</v>
      </c>
      <c r="L14" s="14" t="s">
        <v>71</v>
      </c>
      <c r="M14" s="14" t="s">
        <v>25</v>
      </c>
      <c r="N14" s="14"/>
    </row>
    <row r="15" ht="30" hidden="1" customHeight="1" spans="1:14">
      <c r="A15" s="75">
        <v>12</v>
      </c>
      <c r="B15" s="14" t="s">
        <v>73</v>
      </c>
      <c r="C15" s="14" t="s">
        <v>74</v>
      </c>
      <c r="D15" s="14" t="s">
        <v>63</v>
      </c>
      <c r="E15" s="14" t="s">
        <v>19</v>
      </c>
      <c r="F15" s="14" t="s">
        <v>75</v>
      </c>
      <c r="G15" s="17" t="s">
        <v>21</v>
      </c>
      <c r="H15" s="14" t="s">
        <v>49</v>
      </c>
      <c r="I15" s="14">
        <v>0.222</v>
      </c>
      <c r="J15" s="14">
        <v>3.5</v>
      </c>
      <c r="K15" s="14">
        <v>6.66</v>
      </c>
      <c r="L15" s="14" t="s">
        <v>76</v>
      </c>
      <c r="M15" s="14" t="s">
        <v>25</v>
      </c>
      <c r="N15" s="14"/>
    </row>
    <row r="16" ht="30" hidden="1" customHeight="1" spans="1:14">
      <c r="A16" s="75">
        <v>13</v>
      </c>
      <c r="B16" s="14" t="s">
        <v>77</v>
      </c>
      <c r="C16" s="14" t="s">
        <v>78</v>
      </c>
      <c r="D16" s="14" t="s">
        <v>79</v>
      </c>
      <c r="E16" s="14" t="s">
        <v>19</v>
      </c>
      <c r="F16" s="14" t="s">
        <v>80</v>
      </c>
      <c r="G16" s="17" t="s">
        <v>21</v>
      </c>
      <c r="H16" s="14" t="s">
        <v>49</v>
      </c>
      <c r="I16" s="14">
        <v>2.5</v>
      </c>
      <c r="J16" s="14">
        <v>3.5</v>
      </c>
      <c r="K16" s="14">
        <v>75</v>
      </c>
      <c r="L16" s="14" t="s">
        <v>81</v>
      </c>
      <c r="M16" s="14" t="s">
        <v>25</v>
      </c>
      <c r="N16" s="76"/>
    </row>
    <row r="17" ht="30" hidden="1" customHeight="1" spans="1:14">
      <c r="A17" s="75">
        <v>14</v>
      </c>
      <c r="B17" s="14" t="s">
        <v>77</v>
      </c>
      <c r="C17" s="14" t="s">
        <v>78</v>
      </c>
      <c r="D17" s="14" t="s">
        <v>82</v>
      </c>
      <c r="E17" s="14" t="s">
        <v>19</v>
      </c>
      <c r="F17" s="14" t="s">
        <v>83</v>
      </c>
      <c r="G17" s="17" t="s">
        <v>21</v>
      </c>
      <c r="H17" s="14" t="s">
        <v>49</v>
      </c>
      <c r="I17" s="14">
        <v>1</v>
      </c>
      <c r="J17" s="14">
        <v>3.5</v>
      </c>
      <c r="K17" s="14">
        <v>30</v>
      </c>
      <c r="L17" s="14" t="s">
        <v>81</v>
      </c>
      <c r="M17" s="14" t="s">
        <v>25</v>
      </c>
      <c r="N17" s="76"/>
    </row>
    <row r="18" ht="30" hidden="1" customHeight="1" spans="1:14">
      <c r="A18" s="75">
        <v>15</v>
      </c>
      <c r="B18" s="14" t="s">
        <v>77</v>
      </c>
      <c r="C18" s="14" t="s">
        <v>78</v>
      </c>
      <c r="D18" s="14" t="s">
        <v>84</v>
      </c>
      <c r="E18" s="14" t="s">
        <v>19</v>
      </c>
      <c r="F18" s="14" t="s">
        <v>85</v>
      </c>
      <c r="G18" s="17" t="s">
        <v>21</v>
      </c>
      <c r="H18" s="14" t="s">
        <v>49</v>
      </c>
      <c r="I18" s="14">
        <v>0.44</v>
      </c>
      <c r="J18" s="14">
        <v>3.5</v>
      </c>
      <c r="K18" s="14">
        <v>13.2</v>
      </c>
      <c r="L18" s="14" t="s">
        <v>81</v>
      </c>
      <c r="M18" s="14" t="s">
        <v>25</v>
      </c>
      <c r="N18" s="76"/>
    </row>
    <row r="19" s="69" customFormat="1" ht="30" hidden="1" customHeight="1" spans="1:14">
      <c r="A19" s="75">
        <v>16</v>
      </c>
      <c r="B19" s="14" t="s">
        <v>86</v>
      </c>
      <c r="C19" s="14" t="s">
        <v>87</v>
      </c>
      <c r="D19" s="14" t="s">
        <v>88</v>
      </c>
      <c r="E19" s="14" t="s">
        <v>19</v>
      </c>
      <c r="F19" s="14" t="s">
        <v>89</v>
      </c>
      <c r="G19" s="17" t="s">
        <v>21</v>
      </c>
      <c r="H19" s="14" t="s">
        <v>22</v>
      </c>
      <c r="I19" s="14">
        <v>0.17</v>
      </c>
      <c r="J19" s="14">
        <v>3.5</v>
      </c>
      <c r="K19" s="14">
        <v>5.1</v>
      </c>
      <c r="L19" s="14" t="s">
        <v>90</v>
      </c>
      <c r="M19" s="14" t="s">
        <v>25</v>
      </c>
      <c r="N19" s="14"/>
    </row>
    <row r="20" s="69" customFormat="1" ht="30" hidden="1" customHeight="1" spans="1:14">
      <c r="A20" s="75">
        <v>17</v>
      </c>
      <c r="B20" s="14" t="s">
        <v>86</v>
      </c>
      <c r="C20" s="14" t="s">
        <v>87</v>
      </c>
      <c r="D20" s="14" t="s">
        <v>91</v>
      </c>
      <c r="E20" s="14" t="s">
        <v>19</v>
      </c>
      <c r="F20" s="14" t="s">
        <v>92</v>
      </c>
      <c r="G20" s="17" t="s">
        <v>21</v>
      </c>
      <c r="H20" s="14" t="s">
        <v>22</v>
      </c>
      <c r="I20" s="14">
        <v>0.11</v>
      </c>
      <c r="J20" s="14">
        <v>3.5</v>
      </c>
      <c r="K20" s="14">
        <v>3.3</v>
      </c>
      <c r="L20" s="14" t="s">
        <v>90</v>
      </c>
      <c r="M20" s="14" t="s">
        <v>25</v>
      </c>
      <c r="N20" s="14"/>
    </row>
    <row r="21" s="69" customFormat="1" ht="30" hidden="1" customHeight="1" spans="1:14">
      <c r="A21" s="75">
        <v>18</v>
      </c>
      <c r="B21" s="14" t="s">
        <v>86</v>
      </c>
      <c r="C21" s="14" t="s">
        <v>87</v>
      </c>
      <c r="D21" s="14" t="s">
        <v>93</v>
      </c>
      <c r="E21" s="14" t="s">
        <v>19</v>
      </c>
      <c r="F21" s="14" t="s">
        <v>94</v>
      </c>
      <c r="G21" s="17" t="s">
        <v>21</v>
      </c>
      <c r="H21" s="14" t="s">
        <v>49</v>
      </c>
      <c r="I21" s="14">
        <v>5.4</v>
      </c>
      <c r="J21" s="14">
        <v>3.5</v>
      </c>
      <c r="K21" s="14">
        <v>162</v>
      </c>
      <c r="L21" s="14" t="s">
        <v>90</v>
      </c>
      <c r="M21" s="14" t="s">
        <v>25</v>
      </c>
      <c r="N21" s="14"/>
    </row>
    <row r="22" ht="30" customHeight="1" spans="1:14">
      <c r="A22" s="75">
        <v>19</v>
      </c>
      <c r="B22" s="14" t="s">
        <v>35</v>
      </c>
      <c r="C22" s="14" t="s">
        <v>36</v>
      </c>
      <c r="D22" s="14" t="s">
        <v>95</v>
      </c>
      <c r="E22" s="14" t="s">
        <v>32</v>
      </c>
      <c r="F22" s="14" t="s">
        <v>96</v>
      </c>
      <c r="G22" s="17" t="s">
        <v>21</v>
      </c>
      <c r="H22" s="14" t="s">
        <v>49</v>
      </c>
      <c r="I22" s="14">
        <v>1.2</v>
      </c>
      <c r="J22" s="14">
        <v>3.5</v>
      </c>
      <c r="K22" s="14">
        <v>42</v>
      </c>
      <c r="L22" s="14" t="s">
        <v>38</v>
      </c>
      <c r="M22" s="14" t="s">
        <v>25</v>
      </c>
      <c r="N22" s="76"/>
    </row>
    <row r="23" ht="30" customHeight="1" spans="1:14">
      <c r="A23" s="75">
        <v>20</v>
      </c>
      <c r="B23" s="14" t="s">
        <v>35</v>
      </c>
      <c r="C23" s="14" t="s">
        <v>36</v>
      </c>
      <c r="D23" s="14" t="s">
        <v>97</v>
      </c>
      <c r="E23" s="14" t="s">
        <v>32</v>
      </c>
      <c r="F23" s="14" t="s">
        <v>98</v>
      </c>
      <c r="G23" s="17" t="s">
        <v>21</v>
      </c>
      <c r="H23" s="14" t="s">
        <v>49</v>
      </c>
      <c r="I23" s="14">
        <v>0.5</v>
      </c>
      <c r="J23" s="14">
        <v>3.5</v>
      </c>
      <c r="K23" s="14">
        <v>17.5</v>
      </c>
      <c r="L23" s="14" t="s">
        <v>38</v>
      </c>
      <c r="M23" s="14" t="s">
        <v>25</v>
      </c>
      <c r="N23" s="76"/>
    </row>
    <row r="24" ht="30" customHeight="1" spans="1:14">
      <c r="A24" s="75">
        <v>21</v>
      </c>
      <c r="B24" s="14" t="s">
        <v>35</v>
      </c>
      <c r="C24" s="14" t="s">
        <v>36</v>
      </c>
      <c r="D24" s="14" t="s">
        <v>99</v>
      </c>
      <c r="E24" s="14" t="s">
        <v>32</v>
      </c>
      <c r="F24" s="14" t="s">
        <v>100</v>
      </c>
      <c r="G24" s="17" t="s">
        <v>21</v>
      </c>
      <c r="H24" s="14" t="s">
        <v>49</v>
      </c>
      <c r="I24" s="14">
        <v>0.2</v>
      </c>
      <c r="J24" s="14">
        <v>3.5</v>
      </c>
      <c r="K24" s="14">
        <v>7</v>
      </c>
      <c r="L24" s="14" t="s">
        <v>38</v>
      </c>
      <c r="M24" s="14" t="s">
        <v>25</v>
      </c>
      <c r="N24" s="76"/>
    </row>
    <row r="25" ht="30" customHeight="1" spans="1:14">
      <c r="A25" s="75">
        <v>22</v>
      </c>
      <c r="B25" s="14" t="s">
        <v>35</v>
      </c>
      <c r="C25" s="14" t="s">
        <v>36</v>
      </c>
      <c r="D25" s="14" t="s">
        <v>101</v>
      </c>
      <c r="E25" s="14" t="s">
        <v>32</v>
      </c>
      <c r="F25" s="14" t="s">
        <v>102</v>
      </c>
      <c r="G25" s="17" t="s">
        <v>21</v>
      </c>
      <c r="H25" s="14" t="s">
        <v>49</v>
      </c>
      <c r="I25" s="14">
        <v>0.85</v>
      </c>
      <c r="J25" s="14">
        <v>3.5</v>
      </c>
      <c r="K25" s="14">
        <v>29.75</v>
      </c>
      <c r="L25" s="14" t="s">
        <v>38</v>
      </c>
      <c r="M25" s="14" t="s">
        <v>25</v>
      </c>
      <c r="N25" s="76"/>
    </row>
    <row r="26" ht="30" customHeight="1" spans="1:14">
      <c r="A26" s="75">
        <v>23</v>
      </c>
      <c r="B26" s="14" t="s">
        <v>35</v>
      </c>
      <c r="C26" s="14" t="s">
        <v>36</v>
      </c>
      <c r="D26" s="14" t="s">
        <v>101</v>
      </c>
      <c r="E26" s="14" t="s">
        <v>32</v>
      </c>
      <c r="F26" s="14" t="s">
        <v>103</v>
      </c>
      <c r="G26" s="17" t="s">
        <v>21</v>
      </c>
      <c r="H26" s="14" t="s">
        <v>49</v>
      </c>
      <c r="I26" s="14">
        <v>0.4</v>
      </c>
      <c r="J26" s="14">
        <v>3.5</v>
      </c>
      <c r="K26" s="14">
        <v>14</v>
      </c>
      <c r="L26" s="14" t="s">
        <v>38</v>
      </c>
      <c r="M26" s="14" t="s">
        <v>25</v>
      </c>
      <c r="N26" s="76"/>
    </row>
    <row r="27" ht="30" customHeight="1" spans="1:14">
      <c r="A27" s="75">
        <v>24</v>
      </c>
      <c r="B27" s="14" t="s">
        <v>35</v>
      </c>
      <c r="C27" s="14" t="s">
        <v>36</v>
      </c>
      <c r="D27" s="14" t="s">
        <v>104</v>
      </c>
      <c r="E27" s="14" t="s">
        <v>32</v>
      </c>
      <c r="F27" s="14" t="s">
        <v>105</v>
      </c>
      <c r="G27" s="17" t="s">
        <v>21</v>
      </c>
      <c r="H27" s="14" t="s">
        <v>49</v>
      </c>
      <c r="I27" s="14">
        <v>0.2</v>
      </c>
      <c r="J27" s="14">
        <v>3.5</v>
      </c>
      <c r="K27" s="14">
        <v>7</v>
      </c>
      <c r="L27" s="14" t="s">
        <v>38</v>
      </c>
      <c r="M27" s="14" t="s">
        <v>25</v>
      </c>
      <c r="N27" s="76"/>
    </row>
    <row r="28" ht="30" customHeight="1" spans="1:14">
      <c r="A28" s="75">
        <v>25</v>
      </c>
      <c r="B28" s="14" t="s">
        <v>35</v>
      </c>
      <c r="C28" s="14" t="s">
        <v>36</v>
      </c>
      <c r="D28" s="14" t="s">
        <v>106</v>
      </c>
      <c r="E28" s="14" t="s">
        <v>32</v>
      </c>
      <c r="F28" s="14" t="s">
        <v>107</v>
      </c>
      <c r="G28" s="17" t="s">
        <v>21</v>
      </c>
      <c r="H28" s="14" t="s">
        <v>49</v>
      </c>
      <c r="I28" s="14">
        <v>0.3</v>
      </c>
      <c r="J28" s="14">
        <v>3.5</v>
      </c>
      <c r="K28" s="14">
        <v>10.5</v>
      </c>
      <c r="L28" s="14" t="s">
        <v>38</v>
      </c>
      <c r="M28" s="14" t="s">
        <v>25</v>
      </c>
      <c r="N28" s="76"/>
    </row>
    <row r="29" ht="30" customHeight="1" spans="1:14">
      <c r="A29" s="75">
        <v>26</v>
      </c>
      <c r="B29" s="14" t="s">
        <v>35</v>
      </c>
      <c r="C29" s="14" t="s">
        <v>36</v>
      </c>
      <c r="D29" s="14" t="s">
        <v>108</v>
      </c>
      <c r="E29" s="14" t="s">
        <v>32</v>
      </c>
      <c r="F29" s="14" t="s">
        <v>109</v>
      </c>
      <c r="G29" s="17" t="s">
        <v>21</v>
      </c>
      <c r="H29" s="14" t="s">
        <v>49</v>
      </c>
      <c r="I29" s="14">
        <v>0.2</v>
      </c>
      <c r="J29" s="14">
        <v>3.5</v>
      </c>
      <c r="K29" s="14">
        <v>7</v>
      </c>
      <c r="L29" s="14" t="s">
        <v>38</v>
      </c>
      <c r="M29" s="14" t="s">
        <v>25</v>
      </c>
      <c r="N29" s="76"/>
    </row>
    <row r="30" ht="30" customHeight="1" spans="1:14">
      <c r="A30" s="75">
        <v>27</v>
      </c>
      <c r="B30" s="14" t="s">
        <v>35</v>
      </c>
      <c r="C30" s="14" t="s">
        <v>36</v>
      </c>
      <c r="D30" s="14" t="s">
        <v>110</v>
      </c>
      <c r="E30" s="14" t="s">
        <v>32</v>
      </c>
      <c r="F30" s="14" t="s">
        <v>111</v>
      </c>
      <c r="G30" s="17" t="s">
        <v>21</v>
      </c>
      <c r="H30" s="14" t="s">
        <v>49</v>
      </c>
      <c r="I30" s="14">
        <v>0.2</v>
      </c>
      <c r="J30" s="14">
        <v>3.5</v>
      </c>
      <c r="K30" s="14">
        <v>7</v>
      </c>
      <c r="L30" s="14" t="s">
        <v>38</v>
      </c>
      <c r="M30" s="14" t="s">
        <v>25</v>
      </c>
      <c r="N30" s="76"/>
    </row>
    <row r="31" ht="30" customHeight="1" spans="1:14">
      <c r="A31" s="75">
        <v>28</v>
      </c>
      <c r="B31" s="14" t="s">
        <v>35</v>
      </c>
      <c r="C31" s="14" t="s">
        <v>112</v>
      </c>
      <c r="D31" s="14" t="s">
        <v>113</v>
      </c>
      <c r="E31" s="14" t="s">
        <v>32</v>
      </c>
      <c r="F31" s="14" t="s">
        <v>114</v>
      </c>
      <c r="G31" s="17" t="s">
        <v>21</v>
      </c>
      <c r="H31" s="14" t="s">
        <v>49</v>
      </c>
      <c r="I31" s="14">
        <v>1</v>
      </c>
      <c r="J31" s="14">
        <v>3.5</v>
      </c>
      <c r="K31" s="14">
        <v>35</v>
      </c>
      <c r="L31" s="14" t="s">
        <v>38</v>
      </c>
      <c r="M31" s="14" t="s">
        <v>25</v>
      </c>
      <c r="N31" s="76"/>
    </row>
    <row r="32" ht="30" customHeight="1" spans="1:14">
      <c r="A32" s="75">
        <v>29</v>
      </c>
      <c r="B32" s="14" t="s">
        <v>35</v>
      </c>
      <c r="C32" s="14" t="s">
        <v>112</v>
      </c>
      <c r="D32" s="14" t="s">
        <v>115</v>
      </c>
      <c r="E32" s="14" t="s">
        <v>32</v>
      </c>
      <c r="F32" s="14" t="s">
        <v>116</v>
      </c>
      <c r="G32" s="17" t="s">
        <v>21</v>
      </c>
      <c r="H32" s="14" t="s">
        <v>49</v>
      </c>
      <c r="I32" s="14">
        <v>0.2</v>
      </c>
      <c r="J32" s="14">
        <v>3.5</v>
      </c>
      <c r="K32" s="14">
        <v>7</v>
      </c>
      <c r="L32" s="14" t="s">
        <v>38</v>
      </c>
      <c r="M32" s="14" t="s">
        <v>25</v>
      </c>
      <c r="N32" s="76"/>
    </row>
    <row r="33" ht="30" customHeight="1" spans="1:14">
      <c r="A33" s="75">
        <v>30</v>
      </c>
      <c r="B33" s="14" t="s">
        <v>35</v>
      </c>
      <c r="C33" s="14" t="s">
        <v>112</v>
      </c>
      <c r="D33" s="14" t="s">
        <v>117</v>
      </c>
      <c r="E33" s="14" t="s">
        <v>32</v>
      </c>
      <c r="F33" s="14" t="s">
        <v>118</v>
      </c>
      <c r="G33" s="17" t="s">
        <v>21</v>
      </c>
      <c r="H33" s="14" t="s">
        <v>49</v>
      </c>
      <c r="I33" s="14">
        <v>0.4</v>
      </c>
      <c r="J33" s="14">
        <v>3.5</v>
      </c>
      <c r="K33" s="14">
        <v>14</v>
      </c>
      <c r="L33" s="14" t="s">
        <v>38</v>
      </c>
      <c r="M33" s="14" t="s">
        <v>25</v>
      </c>
      <c r="N33" s="76"/>
    </row>
    <row r="34" ht="30" customHeight="1" spans="1:14">
      <c r="A34" s="75">
        <v>31</v>
      </c>
      <c r="B34" s="14" t="s">
        <v>35</v>
      </c>
      <c r="C34" s="14" t="s">
        <v>112</v>
      </c>
      <c r="D34" s="14" t="s">
        <v>119</v>
      </c>
      <c r="E34" s="14" t="s">
        <v>32</v>
      </c>
      <c r="F34" s="14" t="s">
        <v>120</v>
      </c>
      <c r="G34" s="17" t="s">
        <v>21</v>
      </c>
      <c r="H34" s="14" t="s">
        <v>49</v>
      </c>
      <c r="I34" s="14">
        <v>1.3</v>
      </c>
      <c r="J34" s="14">
        <v>3.5</v>
      </c>
      <c r="K34" s="14">
        <v>45.5</v>
      </c>
      <c r="L34" s="14" t="s">
        <v>38</v>
      </c>
      <c r="M34" s="14" t="s">
        <v>25</v>
      </c>
      <c r="N34" s="76"/>
    </row>
    <row r="35" ht="30" customHeight="1" spans="1:14">
      <c r="A35" s="75">
        <v>32</v>
      </c>
      <c r="B35" s="14" t="s">
        <v>35</v>
      </c>
      <c r="C35" s="14" t="s">
        <v>112</v>
      </c>
      <c r="D35" s="14" t="s">
        <v>121</v>
      </c>
      <c r="E35" s="14" t="s">
        <v>32</v>
      </c>
      <c r="F35" s="14" t="s">
        <v>122</v>
      </c>
      <c r="G35" s="17" t="s">
        <v>21</v>
      </c>
      <c r="H35" s="14" t="s">
        <v>49</v>
      </c>
      <c r="I35" s="14">
        <v>1</v>
      </c>
      <c r="J35" s="14">
        <v>3.5</v>
      </c>
      <c r="K35" s="14">
        <v>35</v>
      </c>
      <c r="L35" s="14" t="s">
        <v>38</v>
      </c>
      <c r="M35" s="14" t="s">
        <v>25</v>
      </c>
      <c r="N35" s="76"/>
    </row>
    <row r="36" ht="30" customHeight="1" spans="1:14">
      <c r="A36" s="75">
        <v>33</v>
      </c>
      <c r="B36" s="14" t="s">
        <v>35</v>
      </c>
      <c r="C36" s="14" t="s">
        <v>112</v>
      </c>
      <c r="D36" s="14" t="s">
        <v>123</v>
      </c>
      <c r="E36" s="14" t="s">
        <v>32</v>
      </c>
      <c r="F36" s="14" t="s">
        <v>124</v>
      </c>
      <c r="G36" s="17" t="s">
        <v>21</v>
      </c>
      <c r="H36" s="14" t="s">
        <v>49</v>
      </c>
      <c r="I36" s="14">
        <v>0.1</v>
      </c>
      <c r="J36" s="14">
        <v>3.5</v>
      </c>
      <c r="K36" s="14">
        <v>3.5</v>
      </c>
      <c r="L36" s="14" t="s">
        <v>38</v>
      </c>
      <c r="M36" s="14" t="s">
        <v>25</v>
      </c>
      <c r="N36" s="76"/>
    </row>
    <row r="37" ht="30" customHeight="1" spans="1:14">
      <c r="A37" s="75">
        <v>34</v>
      </c>
      <c r="B37" s="14" t="s">
        <v>35</v>
      </c>
      <c r="C37" s="14" t="s">
        <v>112</v>
      </c>
      <c r="D37" s="14" t="s">
        <v>125</v>
      </c>
      <c r="E37" s="14" t="s">
        <v>32</v>
      </c>
      <c r="F37" s="77" t="s">
        <v>126</v>
      </c>
      <c r="G37" s="17" t="s">
        <v>21</v>
      </c>
      <c r="H37" s="14" t="s">
        <v>49</v>
      </c>
      <c r="I37" s="14">
        <v>0.2</v>
      </c>
      <c r="J37" s="14">
        <v>3.5</v>
      </c>
      <c r="K37" s="14">
        <v>7</v>
      </c>
      <c r="L37" s="14" t="s">
        <v>38</v>
      </c>
      <c r="M37" s="14" t="s">
        <v>25</v>
      </c>
      <c r="N37" s="76"/>
    </row>
    <row r="38" ht="30" customHeight="1" spans="1:14">
      <c r="A38" s="75">
        <v>35</v>
      </c>
      <c r="B38" s="14" t="s">
        <v>35</v>
      </c>
      <c r="C38" s="14" t="s">
        <v>127</v>
      </c>
      <c r="D38" s="14" t="s">
        <v>128</v>
      </c>
      <c r="E38" s="14" t="s">
        <v>32</v>
      </c>
      <c r="F38" s="14" t="s">
        <v>129</v>
      </c>
      <c r="G38" s="17" t="s">
        <v>21</v>
      </c>
      <c r="H38" s="14" t="s">
        <v>49</v>
      </c>
      <c r="I38" s="14">
        <v>0.3</v>
      </c>
      <c r="J38" s="14">
        <v>3.5</v>
      </c>
      <c r="K38" s="14">
        <v>10.5</v>
      </c>
      <c r="L38" s="14" t="s">
        <v>38</v>
      </c>
      <c r="M38" s="14" t="s">
        <v>25</v>
      </c>
      <c r="N38" s="76"/>
    </row>
    <row r="39" ht="30" customHeight="1" spans="1:14">
      <c r="A39" s="75">
        <v>36</v>
      </c>
      <c r="B39" s="14" t="s">
        <v>35</v>
      </c>
      <c r="C39" s="14" t="s">
        <v>127</v>
      </c>
      <c r="D39" s="14" t="s">
        <v>130</v>
      </c>
      <c r="E39" s="14" t="s">
        <v>32</v>
      </c>
      <c r="F39" s="14" t="s">
        <v>131</v>
      </c>
      <c r="G39" s="17" t="s">
        <v>21</v>
      </c>
      <c r="H39" s="14" t="s">
        <v>49</v>
      </c>
      <c r="I39" s="14">
        <v>0.2</v>
      </c>
      <c r="J39" s="14">
        <v>3.5</v>
      </c>
      <c r="K39" s="14">
        <v>7</v>
      </c>
      <c r="L39" s="14" t="s">
        <v>38</v>
      </c>
      <c r="M39" s="14" t="s">
        <v>25</v>
      </c>
      <c r="N39" s="76"/>
    </row>
    <row r="40" ht="30" customHeight="1" spans="1:14">
      <c r="A40" s="75">
        <v>37</v>
      </c>
      <c r="B40" s="14" t="s">
        <v>35</v>
      </c>
      <c r="C40" s="14" t="s">
        <v>127</v>
      </c>
      <c r="D40" s="75" t="s">
        <v>128</v>
      </c>
      <c r="E40" s="14" t="s">
        <v>32</v>
      </c>
      <c r="F40" s="75" t="s">
        <v>132</v>
      </c>
      <c r="G40" s="17" t="s">
        <v>21</v>
      </c>
      <c r="H40" s="14" t="s">
        <v>49</v>
      </c>
      <c r="I40" s="75">
        <v>0.1</v>
      </c>
      <c r="J40" s="75">
        <v>3.5</v>
      </c>
      <c r="K40" s="14">
        <v>3.5</v>
      </c>
      <c r="L40" s="14" t="s">
        <v>38</v>
      </c>
      <c r="M40" s="14" t="s">
        <v>25</v>
      </c>
      <c r="N40" s="76"/>
    </row>
    <row r="41" ht="30" customHeight="1" spans="1:14">
      <c r="A41" s="75">
        <v>38</v>
      </c>
      <c r="B41" s="14" t="s">
        <v>35</v>
      </c>
      <c r="C41" s="14" t="s">
        <v>127</v>
      </c>
      <c r="D41" s="14" t="s">
        <v>133</v>
      </c>
      <c r="E41" s="14" t="s">
        <v>32</v>
      </c>
      <c r="F41" s="14" t="s">
        <v>134</v>
      </c>
      <c r="G41" s="17" t="s">
        <v>21</v>
      </c>
      <c r="H41" s="14" t="s">
        <v>49</v>
      </c>
      <c r="I41" s="14">
        <v>0.25</v>
      </c>
      <c r="J41" s="14">
        <v>3.5</v>
      </c>
      <c r="K41" s="14">
        <v>8.75</v>
      </c>
      <c r="L41" s="14" t="s">
        <v>38</v>
      </c>
      <c r="M41" s="14" t="s">
        <v>25</v>
      </c>
      <c r="N41" s="76"/>
    </row>
    <row r="42" s="70" customFormat="1" ht="30" hidden="1" customHeight="1" spans="1:14">
      <c r="A42" s="31"/>
      <c r="B42" s="31" t="s">
        <v>16</v>
      </c>
      <c r="C42" s="31"/>
      <c r="D42" s="31"/>
      <c r="E42" s="31"/>
      <c r="F42" s="31"/>
      <c r="G42" s="31"/>
      <c r="H42" s="31"/>
      <c r="I42" s="31">
        <f>SUM(I4:I41)</f>
        <v>25.052</v>
      </c>
      <c r="J42" s="31"/>
      <c r="K42" s="31">
        <f>SUM(K4:K41)</f>
        <v>799.11</v>
      </c>
      <c r="L42" s="31"/>
      <c r="M42" s="31"/>
      <c r="N42" s="31"/>
    </row>
  </sheetData>
  <autoFilter ref="A3:N42">
    <filterColumn colId="1">
      <customFilters>
        <customFilter operator="equal" val="左安镇"/>
      </customFilters>
    </filterColumn>
    <extLst/>
  </autoFilter>
  <mergeCells count="3">
    <mergeCell ref="A1:C1"/>
    <mergeCell ref="A2:N2"/>
    <mergeCell ref="B42:C42"/>
  </mergeCells>
  <pageMargins left="0.55" right="0.55" top="0.984027777777778" bottom="0.984027777777778" header="0.511805555555556" footer="0.511805555555556"/>
  <pageSetup paperSize="9" orientation="landscape"/>
  <headerFooter alignWithMargins="0"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B13" sqref="B5:K13"/>
    </sheetView>
  </sheetViews>
  <sheetFormatPr defaultColWidth="9" defaultRowHeight="14.25"/>
  <cols>
    <col min="1" max="1" width="5.875" customWidth="1"/>
    <col min="2" max="2" width="7.875" customWidth="1"/>
    <col min="4" max="4" width="14.5" customWidth="1"/>
    <col min="5" max="5" width="19" customWidth="1"/>
    <col min="8" max="8" width="12.5" customWidth="1"/>
    <col min="9" max="9" width="16.375" customWidth="1"/>
  </cols>
  <sheetData>
    <row r="1" ht="20.25" customHeight="1" spans="1:2">
      <c r="A1" s="50" t="s">
        <v>135</v>
      </c>
      <c r="B1" s="50"/>
    </row>
    <row r="2" ht="30" customHeight="1" spans="1:11">
      <c r="A2" s="51" t="s">
        <v>136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="3" customFormat="1" ht="37.5" customHeight="1" spans="1:11">
      <c r="A3" s="53" t="s">
        <v>2</v>
      </c>
      <c r="B3" s="53" t="s">
        <v>3</v>
      </c>
      <c r="C3" s="53" t="s">
        <v>4</v>
      </c>
      <c r="D3" s="53" t="s">
        <v>7</v>
      </c>
      <c r="E3" s="53" t="s">
        <v>137</v>
      </c>
      <c r="F3" s="53" t="s">
        <v>138</v>
      </c>
      <c r="G3" s="53" t="s">
        <v>139</v>
      </c>
      <c r="H3" s="53" t="s">
        <v>140</v>
      </c>
      <c r="I3" s="53" t="s">
        <v>141</v>
      </c>
      <c r="J3" s="53" t="s">
        <v>14</v>
      </c>
      <c r="K3" s="53" t="s">
        <v>15</v>
      </c>
    </row>
    <row r="4" ht="30" customHeight="1" spans="1:11">
      <c r="A4" s="54"/>
      <c r="B4" s="55" t="s">
        <v>16</v>
      </c>
      <c r="C4" s="54"/>
      <c r="D4" s="56"/>
      <c r="E4" s="56"/>
      <c r="F4" s="54">
        <v>682</v>
      </c>
      <c r="G4" s="54">
        <v>2773</v>
      </c>
      <c r="H4" s="57">
        <v>130.4</v>
      </c>
      <c r="I4" s="57"/>
      <c r="J4" s="57"/>
      <c r="K4" s="64"/>
    </row>
    <row r="5" ht="30" customHeight="1" spans="1:11">
      <c r="A5" s="58">
        <v>1</v>
      </c>
      <c r="B5" s="59" t="s">
        <v>142</v>
      </c>
      <c r="C5" s="59" t="s">
        <v>143</v>
      </c>
      <c r="D5" s="59" t="s">
        <v>144</v>
      </c>
      <c r="E5" s="60" t="s">
        <v>145</v>
      </c>
      <c r="F5" s="59">
        <v>9</v>
      </c>
      <c r="G5" s="59">
        <v>24</v>
      </c>
      <c r="H5" s="61">
        <v>1</v>
      </c>
      <c r="I5" s="65" t="s">
        <v>146</v>
      </c>
      <c r="J5" s="65" t="s">
        <v>147</v>
      </c>
      <c r="K5" s="66"/>
    </row>
    <row r="6" ht="30" customHeight="1" spans="1:11">
      <c r="A6" s="58">
        <v>2</v>
      </c>
      <c r="B6" s="59" t="s">
        <v>142</v>
      </c>
      <c r="C6" s="59" t="s">
        <v>143</v>
      </c>
      <c r="D6" s="59" t="s">
        <v>148</v>
      </c>
      <c r="E6" s="59" t="s">
        <v>149</v>
      </c>
      <c r="F6" s="59">
        <v>38</v>
      </c>
      <c r="G6" s="59">
        <v>122</v>
      </c>
      <c r="H6" s="61">
        <v>7.32</v>
      </c>
      <c r="I6" s="65" t="s">
        <v>146</v>
      </c>
      <c r="J6" s="65" t="s">
        <v>147</v>
      </c>
      <c r="K6" s="66"/>
    </row>
    <row r="7" ht="30" customHeight="1" spans="1:11">
      <c r="A7" s="58">
        <v>3</v>
      </c>
      <c r="B7" s="59" t="s">
        <v>142</v>
      </c>
      <c r="C7" s="59" t="s">
        <v>143</v>
      </c>
      <c r="D7" s="59" t="s">
        <v>150</v>
      </c>
      <c r="E7" s="59" t="s">
        <v>151</v>
      </c>
      <c r="F7" s="59">
        <v>112</v>
      </c>
      <c r="G7" s="59">
        <v>425</v>
      </c>
      <c r="H7" s="61">
        <v>25.5</v>
      </c>
      <c r="I7" s="65" t="s">
        <v>146</v>
      </c>
      <c r="J7" s="65" t="s">
        <v>147</v>
      </c>
      <c r="K7" s="66"/>
    </row>
    <row r="8" ht="30" customHeight="1" spans="1:11">
      <c r="A8" s="58">
        <v>4</v>
      </c>
      <c r="B8" s="59" t="s">
        <v>152</v>
      </c>
      <c r="C8" s="59" t="s">
        <v>153</v>
      </c>
      <c r="D8" s="59" t="s">
        <v>154</v>
      </c>
      <c r="E8" s="60" t="s">
        <v>155</v>
      </c>
      <c r="F8" s="59">
        <v>21</v>
      </c>
      <c r="G8" s="59">
        <v>72</v>
      </c>
      <c r="H8" s="61">
        <v>4.32</v>
      </c>
      <c r="I8" s="65" t="s">
        <v>156</v>
      </c>
      <c r="J8" s="65" t="s">
        <v>147</v>
      </c>
      <c r="K8" s="67"/>
    </row>
    <row r="9" ht="30" customHeight="1" spans="1:11">
      <c r="A9" s="58">
        <v>5</v>
      </c>
      <c r="B9" s="59" t="s">
        <v>157</v>
      </c>
      <c r="C9" s="59" t="s">
        <v>158</v>
      </c>
      <c r="D9" s="59" t="s">
        <v>159</v>
      </c>
      <c r="E9" s="59" t="s">
        <v>160</v>
      </c>
      <c r="F9" s="59">
        <v>151</v>
      </c>
      <c r="G9" s="59">
        <v>629</v>
      </c>
      <c r="H9" s="61">
        <v>30</v>
      </c>
      <c r="I9" s="65" t="s">
        <v>161</v>
      </c>
      <c r="J9" s="65" t="s">
        <v>147</v>
      </c>
      <c r="K9" s="66"/>
    </row>
    <row r="10" ht="30" customHeight="1" spans="1:11">
      <c r="A10" s="58">
        <v>6</v>
      </c>
      <c r="B10" s="59" t="s">
        <v>157</v>
      </c>
      <c r="C10" s="59" t="s">
        <v>158</v>
      </c>
      <c r="D10" s="59" t="s">
        <v>162</v>
      </c>
      <c r="E10" s="60" t="s">
        <v>163</v>
      </c>
      <c r="F10" s="59">
        <v>196</v>
      </c>
      <c r="G10" s="59">
        <v>854</v>
      </c>
      <c r="H10" s="61">
        <v>30</v>
      </c>
      <c r="I10" s="65" t="s">
        <v>161</v>
      </c>
      <c r="J10" s="65" t="s">
        <v>147</v>
      </c>
      <c r="K10" s="66"/>
    </row>
    <row r="11" ht="30" customHeight="1" spans="1:11">
      <c r="A11" s="58">
        <v>7</v>
      </c>
      <c r="B11" s="59" t="s">
        <v>157</v>
      </c>
      <c r="C11" s="59" t="s">
        <v>158</v>
      </c>
      <c r="D11" s="59" t="s">
        <v>164</v>
      </c>
      <c r="E11" s="59" t="s">
        <v>165</v>
      </c>
      <c r="F11" s="59">
        <v>36</v>
      </c>
      <c r="G11" s="59">
        <v>160</v>
      </c>
      <c r="H11" s="61">
        <v>9.6</v>
      </c>
      <c r="I11" s="65" t="s">
        <v>161</v>
      </c>
      <c r="J11" s="65" t="s">
        <v>147</v>
      </c>
      <c r="K11" s="66"/>
    </row>
    <row r="12" ht="30" customHeight="1" spans="1:11">
      <c r="A12" s="58">
        <v>8</v>
      </c>
      <c r="B12" s="59" t="s">
        <v>157</v>
      </c>
      <c r="C12" s="59" t="s">
        <v>158</v>
      </c>
      <c r="D12" s="59" t="s">
        <v>166</v>
      </c>
      <c r="E12" s="59" t="s">
        <v>167</v>
      </c>
      <c r="F12" s="59">
        <v>37</v>
      </c>
      <c r="G12" s="59">
        <v>159</v>
      </c>
      <c r="H12" s="61">
        <v>9.54</v>
      </c>
      <c r="I12" s="65" t="s">
        <v>161</v>
      </c>
      <c r="J12" s="65" t="s">
        <v>147</v>
      </c>
      <c r="K12" s="66"/>
    </row>
    <row r="13" ht="30" customHeight="1" spans="1:11">
      <c r="A13" s="58">
        <v>9</v>
      </c>
      <c r="B13" s="59" t="s">
        <v>168</v>
      </c>
      <c r="C13" s="59" t="s">
        <v>169</v>
      </c>
      <c r="D13" s="59" t="s">
        <v>170</v>
      </c>
      <c r="E13" s="59" t="s">
        <v>171</v>
      </c>
      <c r="F13" s="59">
        <v>82</v>
      </c>
      <c r="G13" s="59">
        <v>328</v>
      </c>
      <c r="H13" s="59">
        <v>13.12</v>
      </c>
      <c r="I13" s="60" t="s">
        <v>172</v>
      </c>
      <c r="J13" s="65" t="s">
        <v>147</v>
      </c>
      <c r="K13" s="66"/>
    </row>
    <row r="14" ht="48" customHeight="1" spans="1:11">
      <c r="A14" s="62" t="s">
        <v>173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</row>
    <row r="15" ht="20.25" spans="1:1">
      <c r="A15" s="63"/>
    </row>
  </sheetData>
  <mergeCells count="4">
    <mergeCell ref="A1:B1"/>
    <mergeCell ref="A2:K2"/>
    <mergeCell ref="B4:C4"/>
    <mergeCell ref="A14:K14"/>
  </mergeCells>
  <pageMargins left="0.75" right="0.75" top="1" bottom="1" header="0.5" footer="0.5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"/>
  <sheetViews>
    <sheetView workbookViewId="0">
      <selection activeCell="B9" sqref="B4:M9"/>
    </sheetView>
  </sheetViews>
  <sheetFormatPr defaultColWidth="9" defaultRowHeight="14.25"/>
  <cols>
    <col min="1" max="1" width="5.375" customWidth="1"/>
    <col min="2" max="2" width="10.25" customWidth="1"/>
    <col min="3" max="3" width="8.5" customWidth="1"/>
    <col min="4" max="4" width="8.25" customWidth="1"/>
    <col min="5" max="5" width="11.75" customWidth="1"/>
    <col min="6" max="6" width="9.125" customWidth="1"/>
    <col min="7" max="7" width="9.375" customWidth="1"/>
    <col min="8" max="8" width="10" customWidth="1"/>
    <col min="9" max="9" width="10.5" customWidth="1"/>
    <col min="10" max="10" width="10.125" customWidth="1"/>
    <col min="11" max="11" width="10" customWidth="1"/>
    <col min="12" max="12" width="9.625" customWidth="1"/>
  </cols>
  <sheetData>
    <row r="1" ht="30.75" customHeight="1" spans="1:20">
      <c r="A1" s="20" t="s">
        <v>174</v>
      </c>
      <c r="B1" s="20"/>
      <c r="C1" s="20"/>
      <c r="D1" s="20"/>
      <c r="E1" s="20"/>
      <c r="F1" s="20"/>
      <c r="G1" s="20"/>
      <c r="H1" s="20"/>
      <c r="I1" s="20"/>
      <c r="K1" s="20"/>
      <c r="L1" s="20"/>
      <c r="O1" s="39"/>
      <c r="P1" s="39"/>
      <c r="Q1" s="39"/>
      <c r="R1" s="39"/>
      <c r="S1" s="39"/>
      <c r="T1" s="39"/>
    </row>
    <row r="2" ht="50.25" customHeight="1" spans="1:20">
      <c r="A2" s="21" t="s">
        <v>175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O2" s="39"/>
      <c r="P2" s="39"/>
      <c r="Q2" s="39"/>
      <c r="R2" s="39"/>
      <c r="S2" s="39"/>
      <c r="T2" s="39"/>
    </row>
    <row r="3" ht="63.75" customHeight="1" spans="1:24">
      <c r="A3" s="22" t="s">
        <v>2</v>
      </c>
      <c r="B3" s="23" t="s">
        <v>3</v>
      </c>
      <c r="C3" s="23" t="s">
        <v>4</v>
      </c>
      <c r="D3" s="23" t="s">
        <v>6</v>
      </c>
      <c r="E3" s="23" t="s">
        <v>7</v>
      </c>
      <c r="F3" s="23" t="s">
        <v>5</v>
      </c>
      <c r="G3" s="23" t="s">
        <v>176</v>
      </c>
      <c r="H3" s="23" t="s">
        <v>177</v>
      </c>
      <c r="I3" s="23" t="s">
        <v>178</v>
      </c>
      <c r="J3" s="23" t="s">
        <v>12</v>
      </c>
      <c r="K3" s="23" t="s">
        <v>13</v>
      </c>
      <c r="L3" s="30" t="s">
        <v>14</v>
      </c>
      <c r="M3" s="31" t="s">
        <v>15</v>
      </c>
      <c r="N3" s="40"/>
      <c r="O3" s="39"/>
      <c r="P3" s="41"/>
      <c r="Q3" s="39"/>
      <c r="R3" s="39"/>
      <c r="S3" s="39"/>
      <c r="T3" s="39"/>
      <c r="U3" s="40"/>
      <c r="V3" s="40"/>
      <c r="W3" s="40"/>
      <c r="X3" s="40"/>
    </row>
    <row r="4" ht="30" customHeight="1" spans="1:24">
      <c r="A4" s="36">
        <v>1</v>
      </c>
      <c r="B4" s="25" t="s">
        <v>42</v>
      </c>
      <c r="C4" s="25" t="s">
        <v>43</v>
      </c>
      <c r="D4" s="25" t="s">
        <v>179</v>
      </c>
      <c r="E4" s="25" t="s">
        <v>180</v>
      </c>
      <c r="F4" s="25" t="s">
        <v>181</v>
      </c>
      <c r="G4" s="34">
        <v>75</v>
      </c>
      <c r="H4" s="34">
        <v>8</v>
      </c>
      <c r="I4" s="25">
        <v>1000</v>
      </c>
      <c r="J4" s="25">
        <f>I4*50/10000</f>
        <v>5</v>
      </c>
      <c r="K4" s="25" t="s">
        <v>182</v>
      </c>
      <c r="L4" s="25" t="s">
        <v>183</v>
      </c>
      <c r="M4" s="42"/>
      <c r="N4" s="43"/>
      <c r="O4" s="39"/>
      <c r="P4" s="39"/>
      <c r="Q4" s="39"/>
      <c r="R4" s="39"/>
      <c r="S4" s="39"/>
      <c r="T4" s="39"/>
      <c r="U4" s="48"/>
      <c r="V4" s="48"/>
      <c r="W4" s="48"/>
      <c r="X4" s="43"/>
    </row>
    <row r="5" ht="30" customHeight="1" spans="1:24">
      <c r="A5" s="36">
        <v>2</v>
      </c>
      <c r="B5" s="25" t="s">
        <v>184</v>
      </c>
      <c r="C5" s="25" t="s">
        <v>185</v>
      </c>
      <c r="D5" s="25" t="s">
        <v>179</v>
      </c>
      <c r="E5" s="25" t="s">
        <v>180</v>
      </c>
      <c r="F5" s="25" t="s">
        <v>186</v>
      </c>
      <c r="G5" s="34">
        <v>60</v>
      </c>
      <c r="H5" s="34">
        <v>10</v>
      </c>
      <c r="I5" s="25">
        <v>1200</v>
      </c>
      <c r="J5" s="25">
        <f>I5*50/10000</f>
        <v>6</v>
      </c>
      <c r="K5" s="25" t="s">
        <v>187</v>
      </c>
      <c r="L5" s="25" t="s">
        <v>183</v>
      </c>
      <c r="M5" s="42"/>
      <c r="N5" s="43"/>
      <c r="O5" s="39"/>
      <c r="P5" s="39"/>
      <c r="Q5" s="39"/>
      <c r="R5" s="39"/>
      <c r="S5" s="39"/>
      <c r="T5" s="39"/>
      <c r="U5" s="48"/>
      <c r="V5" s="48"/>
      <c r="W5" s="48"/>
      <c r="X5" s="43"/>
    </row>
    <row r="6" ht="30" customHeight="1" spans="1:24">
      <c r="A6" s="36">
        <v>3</v>
      </c>
      <c r="B6" s="25" t="s">
        <v>54</v>
      </c>
      <c r="C6" s="25" t="s">
        <v>55</v>
      </c>
      <c r="D6" s="25" t="s">
        <v>179</v>
      </c>
      <c r="E6" s="25" t="s">
        <v>180</v>
      </c>
      <c r="F6" s="25" t="s">
        <v>55</v>
      </c>
      <c r="G6" s="25">
        <v>65</v>
      </c>
      <c r="H6" s="25">
        <v>15</v>
      </c>
      <c r="I6" s="25">
        <v>4000</v>
      </c>
      <c r="J6" s="25">
        <f>I6*50/10000</f>
        <v>20</v>
      </c>
      <c r="K6" s="25" t="s">
        <v>188</v>
      </c>
      <c r="L6" s="25" t="s">
        <v>183</v>
      </c>
      <c r="M6" s="42"/>
      <c r="N6" s="43"/>
      <c r="O6" s="39"/>
      <c r="P6" s="39"/>
      <c r="Q6" s="39"/>
      <c r="R6" s="39"/>
      <c r="S6" s="39"/>
      <c r="T6" s="39"/>
      <c r="U6" s="48"/>
      <c r="V6" s="48"/>
      <c r="W6" s="48"/>
      <c r="X6" s="43"/>
    </row>
    <row r="7" ht="30" customHeight="1" spans="1:24">
      <c r="A7" s="36">
        <v>4</v>
      </c>
      <c r="B7" s="26" t="s">
        <v>17</v>
      </c>
      <c r="C7" s="26" t="s">
        <v>18</v>
      </c>
      <c r="D7" s="25" t="s">
        <v>179</v>
      </c>
      <c r="E7" s="25" t="s">
        <v>180</v>
      </c>
      <c r="F7" s="25" t="s">
        <v>189</v>
      </c>
      <c r="G7" s="34">
        <v>60</v>
      </c>
      <c r="H7" s="34">
        <v>20</v>
      </c>
      <c r="I7" s="25">
        <v>1300</v>
      </c>
      <c r="J7" s="25">
        <f>I7*50/10000</f>
        <v>6.5</v>
      </c>
      <c r="K7" s="25" t="s">
        <v>190</v>
      </c>
      <c r="L7" s="25" t="s">
        <v>183</v>
      </c>
      <c r="M7" s="42"/>
      <c r="N7" s="43"/>
      <c r="O7" s="39"/>
      <c r="P7" s="39"/>
      <c r="Q7" s="39"/>
      <c r="R7" s="39"/>
      <c r="S7" s="39"/>
      <c r="T7" s="39"/>
      <c r="U7" s="48"/>
      <c r="V7" s="48"/>
      <c r="W7" s="48"/>
      <c r="X7" s="43"/>
    </row>
    <row r="8" ht="30" customHeight="1" spans="1:24">
      <c r="A8" s="36">
        <v>5</v>
      </c>
      <c r="B8" s="25" t="s">
        <v>67</v>
      </c>
      <c r="C8" s="25" t="s">
        <v>68</v>
      </c>
      <c r="D8" s="25" t="s">
        <v>191</v>
      </c>
      <c r="E8" s="25" t="s">
        <v>180</v>
      </c>
      <c r="F8" s="25" t="s">
        <v>192</v>
      </c>
      <c r="G8" s="34">
        <v>4</v>
      </c>
      <c r="H8" s="34">
        <v>1</v>
      </c>
      <c r="I8" s="25">
        <v>150</v>
      </c>
      <c r="J8" s="25">
        <f>I8*55/10000</f>
        <v>0.825</v>
      </c>
      <c r="K8" s="25" t="s">
        <v>193</v>
      </c>
      <c r="L8" s="25" t="s">
        <v>183</v>
      </c>
      <c r="M8" s="42"/>
      <c r="N8" s="43"/>
      <c r="O8" s="39"/>
      <c r="P8" s="39"/>
      <c r="Q8" s="39"/>
      <c r="R8" s="39"/>
      <c r="S8" s="39"/>
      <c r="T8" s="39"/>
      <c r="U8" s="48"/>
      <c r="V8" s="48"/>
      <c r="W8" s="48"/>
      <c r="X8" s="43"/>
    </row>
    <row r="9" ht="30" customHeight="1" spans="1:24">
      <c r="A9" s="36">
        <v>6</v>
      </c>
      <c r="B9" s="25" t="s">
        <v>194</v>
      </c>
      <c r="C9" s="25" t="s">
        <v>195</v>
      </c>
      <c r="D9" s="25" t="s">
        <v>191</v>
      </c>
      <c r="E9" s="25" t="s">
        <v>180</v>
      </c>
      <c r="F9" s="25" t="s">
        <v>189</v>
      </c>
      <c r="G9" s="25">
        <v>24</v>
      </c>
      <c r="H9" s="25">
        <v>3</v>
      </c>
      <c r="I9" s="25">
        <v>772</v>
      </c>
      <c r="J9" s="25">
        <f>I9*55/10000</f>
        <v>4.246</v>
      </c>
      <c r="K9" s="25" t="s">
        <v>156</v>
      </c>
      <c r="L9" s="25" t="s">
        <v>183</v>
      </c>
      <c r="M9" s="44"/>
      <c r="N9" s="43"/>
      <c r="O9" s="39"/>
      <c r="P9" s="39"/>
      <c r="Q9" s="39"/>
      <c r="R9" s="39"/>
      <c r="S9" s="39"/>
      <c r="T9" s="39"/>
      <c r="U9" s="48"/>
      <c r="V9" s="48"/>
      <c r="W9" s="48"/>
      <c r="X9" s="43"/>
    </row>
    <row r="10" ht="30" customHeight="1" spans="1:24">
      <c r="A10" s="22" t="s">
        <v>16</v>
      </c>
      <c r="B10" s="22"/>
      <c r="C10" s="22"/>
      <c r="D10" s="22"/>
      <c r="E10" s="22"/>
      <c r="F10" s="37"/>
      <c r="G10" s="37"/>
      <c r="H10" s="37"/>
      <c r="I10" s="22">
        <v>11960</v>
      </c>
      <c r="J10" s="22">
        <f>J4+J5+J6+J7+J8+J9</f>
        <v>42.571</v>
      </c>
      <c r="K10" s="22"/>
      <c r="L10" s="37"/>
      <c r="M10" s="37"/>
      <c r="N10" s="45"/>
      <c r="O10" s="46"/>
      <c r="P10" s="46"/>
      <c r="Q10" s="46"/>
      <c r="R10" s="46"/>
      <c r="S10" s="46"/>
      <c r="T10" s="46"/>
      <c r="U10" s="49"/>
      <c r="V10" s="49"/>
      <c r="W10" s="49"/>
      <c r="X10" s="45"/>
    </row>
    <row r="11" ht="42" customHeight="1" spans="1:24">
      <c r="A11" s="29" t="s">
        <v>196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47"/>
      <c r="O11" s="39"/>
      <c r="P11" s="39"/>
      <c r="Q11" s="39"/>
      <c r="R11" s="39"/>
      <c r="S11" s="39"/>
      <c r="T11" s="39"/>
      <c r="U11" s="48"/>
      <c r="V11" s="48"/>
      <c r="W11" s="48"/>
      <c r="X11" s="47"/>
    </row>
    <row r="12" spans="14:24">
      <c r="N12" s="47"/>
      <c r="O12" s="39"/>
      <c r="P12" s="39"/>
      <c r="Q12" s="39"/>
      <c r="R12" s="39"/>
      <c r="S12" s="39"/>
      <c r="T12" s="39"/>
      <c r="U12" s="48"/>
      <c r="V12" s="48"/>
      <c r="W12" s="48"/>
      <c r="X12" s="47"/>
    </row>
    <row r="13" spans="2:24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47"/>
      <c r="O13" s="39"/>
      <c r="P13" s="39"/>
      <c r="Q13" s="39"/>
      <c r="R13" s="39"/>
      <c r="S13" s="39"/>
      <c r="T13" s="39"/>
      <c r="U13" s="48"/>
      <c r="V13" s="48"/>
      <c r="W13" s="48"/>
      <c r="X13" s="47"/>
    </row>
    <row r="14" spans="14:24">
      <c r="N14" s="47"/>
      <c r="O14" s="39"/>
      <c r="P14" s="39"/>
      <c r="Q14" s="39"/>
      <c r="R14" s="39"/>
      <c r="S14" s="39"/>
      <c r="T14" s="39"/>
      <c r="U14" s="48"/>
      <c r="V14" s="48"/>
      <c r="W14" s="48"/>
      <c r="X14" s="47"/>
    </row>
    <row r="15" spans="14:24">
      <c r="N15" s="47"/>
      <c r="O15" s="39"/>
      <c r="P15" s="39"/>
      <c r="Q15" s="39"/>
      <c r="R15" s="39"/>
      <c r="S15" s="39"/>
      <c r="T15" s="39"/>
      <c r="U15" s="48"/>
      <c r="V15" s="48"/>
      <c r="W15" s="48"/>
      <c r="X15" s="47"/>
    </row>
    <row r="16" spans="14:24">
      <c r="N16" s="47"/>
      <c r="O16" s="39"/>
      <c r="P16" s="39"/>
      <c r="Q16" s="39"/>
      <c r="R16" s="39"/>
      <c r="S16" s="39"/>
      <c r="T16" s="39"/>
      <c r="U16" s="48"/>
      <c r="V16" s="48"/>
      <c r="W16" s="48"/>
      <c r="X16" s="47"/>
    </row>
    <row r="17" spans="14:24">
      <c r="N17" s="47"/>
      <c r="O17" s="39"/>
      <c r="P17" s="39"/>
      <c r="Q17" s="39"/>
      <c r="R17" s="39"/>
      <c r="S17" s="39"/>
      <c r="T17" s="39"/>
      <c r="U17" s="48"/>
      <c r="V17" s="48"/>
      <c r="W17" s="48"/>
      <c r="X17" s="47"/>
    </row>
    <row r="18" spans="14:24">
      <c r="N18" s="47"/>
      <c r="O18" s="39"/>
      <c r="P18" s="39"/>
      <c r="Q18" s="39"/>
      <c r="R18" s="39"/>
      <c r="S18" s="39"/>
      <c r="T18" s="39"/>
      <c r="U18" s="47"/>
      <c r="V18" s="47"/>
      <c r="W18" s="47"/>
      <c r="X18" s="47"/>
    </row>
    <row r="19" spans="14:24">
      <c r="N19" s="47"/>
      <c r="O19" s="39"/>
      <c r="P19" s="39"/>
      <c r="Q19" s="39"/>
      <c r="R19" s="39"/>
      <c r="S19" s="39"/>
      <c r="T19" s="39"/>
      <c r="U19" s="47"/>
      <c r="V19" s="47"/>
      <c r="W19" s="47"/>
      <c r="X19" s="47"/>
    </row>
  </sheetData>
  <mergeCells count="3">
    <mergeCell ref="A2:M2"/>
    <mergeCell ref="A10:C10"/>
    <mergeCell ref="A11:M11"/>
  </mergeCells>
  <pageMargins left="0.75" right="0.75" top="1" bottom="1" header="0.5" footer="0.5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B4" sqref="A4:K12"/>
    </sheetView>
  </sheetViews>
  <sheetFormatPr defaultColWidth="9" defaultRowHeight="14.25"/>
  <cols>
    <col min="1" max="1" width="5" customWidth="1"/>
    <col min="4" max="4" width="14.5" customWidth="1"/>
    <col min="5" max="5" width="10.25" customWidth="1"/>
    <col min="6" max="7" width="10.125" customWidth="1"/>
    <col min="8" max="8" width="12" customWidth="1"/>
    <col min="9" max="9" width="16" customWidth="1"/>
    <col min="10" max="10" width="14" customWidth="1"/>
    <col min="11" max="11" width="11.375" customWidth="1"/>
  </cols>
  <sheetData>
    <row r="1" ht="21" customHeight="1" spans="1:8">
      <c r="A1" s="20" t="s">
        <v>197</v>
      </c>
      <c r="B1" s="20"/>
      <c r="C1" s="20"/>
      <c r="D1" s="20"/>
      <c r="E1" s="20"/>
      <c r="F1" s="20"/>
      <c r="H1" s="20"/>
    </row>
    <row r="2" ht="40.5" customHeight="1" spans="1:11">
      <c r="A2" s="21" t="s">
        <v>198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ht="48" customHeight="1" spans="1:11">
      <c r="A3" s="22" t="s">
        <v>2</v>
      </c>
      <c r="B3" s="23" t="s">
        <v>3</v>
      </c>
      <c r="C3" s="23" t="s">
        <v>4</v>
      </c>
      <c r="D3" s="23" t="s">
        <v>7</v>
      </c>
      <c r="E3" s="23" t="s">
        <v>176</v>
      </c>
      <c r="F3" s="23" t="s">
        <v>177</v>
      </c>
      <c r="G3" s="23" t="s">
        <v>199</v>
      </c>
      <c r="H3" s="23" t="s">
        <v>12</v>
      </c>
      <c r="I3" s="30" t="s">
        <v>13</v>
      </c>
      <c r="J3" s="30" t="s">
        <v>14</v>
      </c>
      <c r="K3" s="31" t="s">
        <v>15</v>
      </c>
    </row>
    <row r="4" ht="30" customHeight="1" spans="1:11">
      <c r="A4" s="24">
        <v>1</v>
      </c>
      <c r="B4" s="25" t="s">
        <v>184</v>
      </c>
      <c r="C4" s="25" t="s">
        <v>185</v>
      </c>
      <c r="D4" s="25" t="s">
        <v>200</v>
      </c>
      <c r="E4" s="25">
        <v>42</v>
      </c>
      <c r="F4" s="25">
        <v>9</v>
      </c>
      <c r="G4" s="25">
        <v>42</v>
      </c>
      <c r="H4" s="25">
        <f>G4*0.15</f>
        <v>6.3</v>
      </c>
      <c r="I4" s="25" t="s">
        <v>187</v>
      </c>
      <c r="J4" s="25" t="s">
        <v>201</v>
      </c>
      <c r="K4" s="32"/>
    </row>
    <row r="5" ht="30" customHeight="1" spans="1:11">
      <c r="A5" s="24">
        <v>2</v>
      </c>
      <c r="B5" s="25" t="s">
        <v>54</v>
      </c>
      <c r="C5" s="25" t="s">
        <v>55</v>
      </c>
      <c r="D5" s="25" t="s">
        <v>200</v>
      </c>
      <c r="E5" s="25">
        <v>95</v>
      </c>
      <c r="F5" s="25">
        <v>15</v>
      </c>
      <c r="G5" s="25">
        <v>95</v>
      </c>
      <c r="H5" s="25">
        <f t="shared" ref="H5:H11" si="0">G5*0.15</f>
        <v>14.25</v>
      </c>
      <c r="I5" s="25" t="s">
        <v>188</v>
      </c>
      <c r="J5" s="25" t="s">
        <v>201</v>
      </c>
      <c r="K5" s="33"/>
    </row>
    <row r="6" ht="30" customHeight="1" spans="1:11">
      <c r="A6" s="24">
        <v>3</v>
      </c>
      <c r="B6" s="26" t="s">
        <v>17</v>
      </c>
      <c r="C6" s="26" t="s">
        <v>18</v>
      </c>
      <c r="D6" s="25" t="s">
        <v>200</v>
      </c>
      <c r="E6" s="25">
        <v>110</v>
      </c>
      <c r="F6" s="25">
        <v>20</v>
      </c>
      <c r="G6" s="25">
        <v>120</v>
      </c>
      <c r="H6" s="25">
        <f t="shared" si="0"/>
        <v>18</v>
      </c>
      <c r="I6" s="25" t="s">
        <v>190</v>
      </c>
      <c r="J6" s="25" t="s">
        <v>201</v>
      </c>
      <c r="K6" s="33"/>
    </row>
    <row r="7" ht="30" customHeight="1" spans="1:11">
      <c r="A7" s="24">
        <v>4</v>
      </c>
      <c r="B7" s="25" t="s">
        <v>67</v>
      </c>
      <c r="C7" s="25" t="s">
        <v>68</v>
      </c>
      <c r="D7" s="25" t="s">
        <v>200</v>
      </c>
      <c r="E7" s="25">
        <v>10</v>
      </c>
      <c r="F7" s="25">
        <v>1</v>
      </c>
      <c r="G7" s="25">
        <v>10</v>
      </c>
      <c r="H7" s="25">
        <f t="shared" si="0"/>
        <v>1.5</v>
      </c>
      <c r="I7" s="25" t="s">
        <v>193</v>
      </c>
      <c r="J7" s="25" t="s">
        <v>201</v>
      </c>
      <c r="K7" s="32"/>
    </row>
    <row r="8" ht="30" customHeight="1" spans="1:11">
      <c r="A8" s="24">
        <v>5</v>
      </c>
      <c r="B8" s="25" t="s">
        <v>73</v>
      </c>
      <c r="C8" s="25" t="s">
        <v>74</v>
      </c>
      <c r="D8" s="25" t="s">
        <v>200</v>
      </c>
      <c r="E8" s="25">
        <v>200</v>
      </c>
      <c r="F8" s="25"/>
      <c r="G8" s="25">
        <v>200</v>
      </c>
      <c r="H8" s="25">
        <f t="shared" si="0"/>
        <v>30</v>
      </c>
      <c r="I8" s="25" t="s">
        <v>161</v>
      </c>
      <c r="J8" s="25" t="s">
        <v>201</v>
      </c>
      <c r="K8" s="32"/>
    </row>
    <row r="9" ht="30" customHeight="1" spans="1:11">
      <c r="A9" s="24">
        <v>6</v>
      </c>
      <c r="B9" s="26" t="s">
        <v>77</v>
      </c>
      <c r="C9" s="26" t="s">
        <v>78</v>
      </c>
      <c r="D9" s="25" t="s">
        <v>200</v>
      </c>
      <c r="E9" s="26">
        <v>22</v>
      </c>
      <c r="F9" s="26">
        <v>11</v>
      </c>
      <c r="G9" s="26">
        <v>22</v>
      </c>
      <c r="H9" s="25">
        <f t="shared" si="0"/>
        <v>3.3</v>
      </c>
      <c r="I9" s="26" t="s">
        <v>172</v>
      </c>
      <c r="J9" s="25" t="s">
        <v>201</v>
      </c>
      <c r="K9" s="32"/>
    </row>
    <row r="10" ht="30" customHeight="1" spans="1:11">
      <c r="A10" s="24">
        <v>7</v>
      </c>
      <c r="B10" s="27" t="s">
        <v>29</v>
      </c>
      <c r="C10" s="27" t="s">
        <v>30</v>
      </c>
      <c r="D10" s="25" t="s">
        <v>200</v>
      </c>
      <c r="E10" s="27">
        <v>50</v>
      </c>
      <c r="F10" s="27">
        <v>20</v>
      </c>
      <c r="G10" s="27">
        <v>50</v>
      </c>
      <c r="H10" s="25">
        <f t="shared" si="0"/>
        <v>7.5</v>
      </c>
      <c r="I10" s="34" t="s">
        <v>202</v>
      </c>
      <c r="J10" s="25" t="s">
        <v>201</v>
      </c>
      <c r="K10" s="34"/>
    </row>
    <row r="11" ht="30" customHeight="1" spans="1:11">
      <c r="A11" s="24">
        <v>8</v>
      </c>
      <c r="B11" s="25" t="s">
        <v>203</v>
      </c>
      <c r="C11" s="25" t="s">
        <v>195</v>
      </c>
      <c r="D11" s="25" t="s">
        <v>200</v>
      </c>
      <c r="E11" s="25">
        <v>50</v>
      </c>
      <c r="F11" s="25">
        <v>3</v>
      </c>
      <c r="G11" s="25">
        <v>50</v>
      </c>
      <c r="H11" s="25">
        <f t="shared" si="0"/>
        <v>7.5</v>
      </c>
      <c r="I11" s="25" t="s">
        <v>156</v>
      </c>
      <c r="J11" s="25" t="s">
        <v>201</v>
      </c>
      <c r="K11" s="32"/>
    </row>
    <row r="12" ht="30" customHeight="1" spans="1:11">
      <c r="A12" s="28" t="s">
        <v>16</v>
      </c>
      <c r="B12" s="28"/>
      <c r="C12" s="28"/>
      <c r="D12" s="28"/>
      <c r="E12" s="28"/>
      <c r="F12" s="28"/>
      <c r="G12" s="28">
        <f>SUM(G4:G11)</f>
        <v>589</v>
      </c>
      <c r="H12" s="28">
        <f>SUM(H4:H11)</f>
        <v>88.35</v>
      </c>
      <c r="I12" s="28"/>
      <c r="J12" s="28"/>
      <c r="K12" s="35"/>
    </row>
    <row r="13" ht="31.5" customHeight="1" spans="1:11">
      <c r="A13" s="29" t="s">
        <v>196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</row>
  </sheetData>
  <mergeCells count="3">
    <mergeCell ref="A2:K2"/>
    <mergeCell ref="A12:C12"/>
    <mergeCell ref="A13:K13"/>
  </mergeCells>
  <pageMargins left="0.75" right="0.75" top="1" bottom="1" header="0.5" footer="0.5"/>
  <pageSetup paperSize="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23"/>
  <sheetViews>
    <sheetView tabSelected="1" workbookViewId="0">
      <selection activeCell="H26" sqref="H26"/>
    </sheetView>
  </sheetViews>
  <sheetFormatPr defaultColWidth="9" defaultRowHeight="14.25"/>
  <cols>
    <col min="1" max="1" width="4.375" style="2" customWidth="1"/>
    <col min="2" max="2" width="9" style="3"/>
    <col min="3" max="3" width="7.875" style="3" customWidth="1"/>
    <col min="4" max="4" width="17.125" style="3" customWidth="1"/>
    <col min="5" max="5" width="15.125" style="3" customWidth="1"/>
    <col min="6" max="6" width="20.5" style="3" customWidth="1"/>
    <col min="7" max="7" width="9.625" style="3" customWidth="1"/>
    <col min="8" max="8" width="10.625" style="3" customWidth="1"/>
    <col min="9" max="10" width="9.875" style="3" customWidth="1"/>
    <col min="11" max="11" width="7.25" style="3" customWidth="1"/>
    <col min="12" max="16384" width="9" style="3"/>
  </cols>
  <sheetData>
    <row r="1" ht="23.25" customHeight="1" spans="1:7">
      <c r="A1" s="4" t="s">
        <v>204</v>
      </c>
      <c r="B1" s="4"/>
      <c r="C1" s="4"/>
      <c r="D1" s="4"/>
      <c r="E1" s="4"/>
      <c r="F1" s="4"/>
      <c r="G1" s="4"/>
    </row>
    <row r="2" ht="43.5" customHeight="1" spans="1:11">
      <c r="A2" s="5" t="s">
        <v>205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ht="50.25" customHeight="1" spans="1:11">
      <c r="A3" s="6" t="s">
        <v>2</v>
      </c>
      <c r="B3" s="7" t="s">
        <v>3</v>
      </c>
      <c r="C3" s="7" t="s">
        <v>4</v>
      </c>
      <c r="D3" s="7" t="s">
        <v>7</v>
      </c>
      <c r="E3" s="7" t="s">
        <v>5</v>
      </c>
      <c r="F3" s="7" t="s">
        <v>206</v>
      </c>
      <c r="G3" s="7" t="s">
        <v>207</v>
      </c>
      <c r="H3" s="8" t="s">
        <v>12</v>
      </c>
      <c r="I3" s="8" t="s">
        <v>13</v>
      </c>
      <c r="J3" s="8" t="s">
        <v>14</v>
      </c>
      <c r="K3" s="19" t="s">
        <v>15</v>
      </c>
    </row>
    <row r="4" s="1" customFormat="1" ht="30" hidden="1" customHeight="1" spans="1:11">
      <c r="A4" s="6" t="s">
        <v>16</v>
      </c>
      <c r="B4" s="6"/>
      <c r="C4" s="7"/>
      <c r="D4" s="7"/>
      <c r="E4" s="7"/>
      <c r="F4" s="7"/>
      <c r="G4" s="6">
        <f>SUM(G5:G23)</f>
        <v>777.5</v>
      </c>
      <c r="H4" s="9">
        <f>SUM(H5:H23)</f>
        <v>233.25</v>
      </c>
      <c r="I4" s="8"/>
      <c r="J4" s="8"/>
      <c r="K4" s="19"/>
    </row>
    <row r="5" ht="30" hidden="1" customHeight="1" spans="1:11">
      <c r="A5" s="10">
        <v>1</v>
      </c>
      <c r="B5" s="11" t="s">
        <v>54</v>
      </c>
      <c r="C5" s="12" t="s">
        <v>55</v>
      </c>
      <c r="D5" s="12" t="s">
        <v>208</v>
      </c>
      <c r="E5" s="12" t="s">
        <v>209</v>
      </c>
      <c r="F5" s="12" t="s">
        <v>210</v>
      </c>
      <c r="G5" s="12">
        <v>51</v>
      </c>
      <c r="H5" s="12">
        <v>15.3</v>
      </c>
      <c r="I5" s="12" t="s">
        <v>58</v>
      </c>
      <c r="J5" s="12" t="s">
        <v>25</v>
      </c>
      <c r="K5" s="12" t="s">
        <v>211</v>
      </c>
    </row>
    <row r="6" ht="30" hidden="1" customHeight="1" spans="1:11">
      <c r="A6" s="10">
        <v>2</v>
      </c>
      <c r="B6" s="11" t="s">
        <v>54</v>
      </c>
      <c r="C6" s="12" t="s">
        <v>55</v>
      </c>
      <c r="D6" s="12" t="s">
        <v>212</v>
      </c>
      <c r="E6" s="12" t="s">
        <v>213</v>
      </c>
      <c r="F6" s="12" t="s">
        <v>214</v>
      </c>
      <c r="G6" s="12">
        <v>52.5</v>
      </c>
      <c r="H6" s="12">
        <v>15.75</v>
      </c>
      <c r="I6" s="12" t="s">
        <v>58</v>
      </c>
      <c r="J6" s="12" t="s">
        <v>25</v>
      </c>
      <c r="K6" s="12" t="s">
        <v>211</v>
      </c>
    </row>
    <row r="7" ht="30" hidden="1" customHeight="1" spans="1:11">
      <c r="A7" s="10">
        <v>3</v>
      </c>
      <c r="B7" s="13" t="s">
        <v>17</v>
      </c>
      <c r="C7" s="14" t="s">
        <v>18</v>
      </c>
      <c r="D7" s="12" t="s">
        <v>215</v>
      </c>
      <c r="E7" s="12" t="s">
        <v>216</v>
      </c>
      <c r="F7" s="12" t="s">
        <v>217</v>
      </c>
      <c r="G7" s="12">
        <v>195</v>
      </c>
      <c r="H7" s="12">
        <v>58.5</v>
      </c>
      <c r="I7" s="12" t="s">
        <v>24</v>
      </c>
      <c r="J7" s="12" t="s">
        <v>25</v>
      </c>
      <c r="K7" s="17" t="s">
        <v>218</v>
      </c>
    </row>
    <row r="8" ht="30" hidden="1" customHeight="1" spans="1:11">
      <c r="A8" s="10">
        <v>4</v>
      </c>
      <c r="B8" s="13" t="s">
        <v>17</v>
      </c>
      <c r="C8" s="14" t="s">
        <v>18</v>
      </c>
      <c r="D8" s="12" t="s">
        <v>219</v>
      </c>
      <c r="E8" s="12" t="s">
        <v>220</v>
      </c>
      <c r="F8" s="12" t="s">
        <v>221</v>
      </c>
      <c r="G8" s="12">
        <v>24</v>
      </c>
      <c r="H8" s="12">
        <v>7.2</v>
      </c>
      <c r="I8" s="12" t="s">
        <v>24</v>
      </c>
      <c r="J8" s="12" t="s">
        <v>25</v>
      </c>
      <c r="K8" s="17" t="s">
        <v>222</v>
      </c>
    </row>
    <row r="9" ht="30" hidden="1" customHeight="1" spans="1:11">
      <c r="A9" s="10">
        <v>5</v>
      </c>
      <c r="B9" s="13" t="s">
        <v>17</v>
      </c>
      <c r="C9" s="14" t="s">
        <v>18</v>
      </c>
      <c r="D9" s="12" t="s">
        <v>223</v>
      </c>
      <c r="E9" s="12" t="s">
        <v>224</v>
      </c>
      <c r="F9" s="12" t="s">
        <v>225</v>
      </c>
      <c r="G9" s="12">
        <v>40</v>
      </c>
      <c r="H9" s="12">
        <v>12</v>
      </c>
      <c r="I9" s="12" t="s">
        <v>24</v>
      </c>
      <c r="J9" s="12" t="s">
        <v>25</v>
      </c>
      <c r="K9" s="17" t="s">
        <v>222</v>
      </c>
    </row>
    <row r="10" ht="30" hidden="1" customHeight="1" spans="1:11">
      <c r="A10" s="10">
        <v>6</v>
      </c>
      <c r="B10" s="15" t="s">
        <v>67</v>
      </c>
      <c r="C10" s="14" t="s">
        <v>68</v>
      </c>
      <c r="D10" s="14" t="s">
        <v>226</v>
      </c>
      <c r="E10" s="12" t="s">
        <v>68</v>
      </c>
      <c r="F10" s="12" t="s">
        <v>227</v>
      </c>
      <c r="G10" s="14">
        <v>8</v>
      </c>
      <c r="H10" s="14">
        <v>2.4</v>
      </c>
      <c r="I10" s="12" t="s">
        <v>71</v>
      </c>
      <c r="J10" s="12" t="s">
        <v>25</v>
      </c>
      <c r="K10" s="17" t="s">
        <v>222</v>
      </c>
    </row>
    <row r="11" ht="30" hidden="1" customHeight="1" spans="1:11">
      <c r="A11" s="10">
        <v>7</v>
      </c>
      <c r="B11" s="16" t="s">
        <v>29</v>
      </c>
      <c r="C11" s="17" t="s">
        <v>30</v>
      </c>
      <c r="D11" s="17" t="s">
        <v>228</v>
      </c>
      <c r="E11" s="17" t="s">
        <v>229</v>
      </c>
      <c r="F11" s="12" t="s">
        <v>230</v>
      </c>
      <c r="G11" s="17">
        <v>48</v>
      </c>
      <c r="H11" s="14">
        <v>14.4</v>
      </c>
      <c r="I11" s="12" t="s">
        <v>34</v>
      </c>
      <c r="J11" s="12" t="s">
        <v>25</v>
      </c>
      <c r="K11" s="17" t="s">
        <v>222</v>
      </c>
    </row>
    <row r="12" ht="30" hidden="1" customHeight="1" spans="1:11">
      <c r="A12" s="10">
        <v>8</v>
      </c>
      <c r="B12" s="16" t="s">
        <v>29</v>
      </c>
      <c r="C12" s="17" t="s">
        <v>30</v>
      </c>
      <c r="D12" s="17" t="s">
        <v>231</v>
      </c>
      <c r="E12" s="17" t="s">
        <v>232</v>
      </c>
      <c r="F12" s="12" t="s">
        <v>233</v>
      </c>
      <c r="G12" s="17">
        <v>18</v>
      </c>
      <c r="H12" s="14">
        <v>5.4</v>
      </c>
      <c r="I12" s="12" t="s">
        <v>34</v>
      </c>
      <c r="J12" s="12" t="s">
        <v>25</v>
      </c>
      <c r="K12" s="17" t="s">
        <v>222</v>
      </c>
    </row>
    <row r="13" ht="30" hidden="1" customHeight="1" spans="1:11">
      <c r="A13" s="10">
        <v>9</v>
      </c>
      <c r="B13" s="16" t="s">
        <v>29</v>
      </c>
      <c r="C13" s="17" t="s">
        <v>30</v>
      </c>
      <c r="D13" s="17" t="s">
        <v>234</v>
      </c>
      <c r="E13" s="17" t="s">
        <v>235</v>
      </c>
      <c r="F13" s="12" t="s">
        <v>233</v>
      </c>
      <c r="G13" s="17">
        <v>18</v>
      </c>
      <c r="H13" s="14">
        <v>5.4</v>
      </c>
      <c r="I13" s="12" t="s">
        <v>34</v>
      </c>
      <c r="J13" s="12" t="s">
        <v>25</v>
      </c>
      <c r="K13" s="17" t="s">
        <v>222</v>
      </c>
    </row>
    <row r="14" ht="30" hidden="1" customHeight="1" spans="1:11">
      <c r="A14" s="10">
        <v>10</v>
      </c>
      <c r="B14" s="16" t="s">
        <v>29</v>
      </c>
      <c r="C14" s="17" t="s">
        <v>30</v>
      </c>
      <c r="D14" s="17" t="s">
        <v>236</v>
      </c>
      <c r="E14" s="17" t="s">
        <v>237</v>
      </c>
      <c r="F14" s="12" t="s">
        <v>233</v>
      </c>
      <c r="G14" s="17">
        <v>18</v>
      </c>
      <c r="H14" s="14">
        <v>5.4</v>
      </c>
      <c r="I14" s="12" t="s">
        <v>34</v>
      </c>
      <c r="J14" s="12" t="s">
        <v>25</v>
      </c>
      <c r="K14" s="17" t="s">
        <v>222</v>
      </c>
    </row>
    <row r="15" ht="30" hidden="1" customHeight="1" spans="1:11">
      <c r="A15" s="10">
        <v>11</v>
      </c>
      <c r="B15" s="16" t="s">
        <v>29</v>
      </c>
      <c r="C15" s="17" t="s">
        <v>30</v>
      </c>
      <c r="D15" s="17" t="s">
        <v>238</v>
      </c>
      <c r="E15" s="17" t="s">
        <v>239</v>
      </c>
      <c r="F15" s="12" t="s">
        <v>233</v>
      </c>
      <c r="G15" s="17">
        <v>18</v>
      </c>
      <c r="H15" s="14">
        <v>5.4</v>
      </c>
      <c r="I15" s="12" t="s">
        <v>34</v>
      </c>
      <c r="J15" s="12" t="s">
        <v>25</v>
      </c>
      <c r="K15" s="17" t="s">
        <v>222</v>
      </c>
    </row>
    <row r="16" ht="30" hidden="1" customHeight="1" spans="1:11">
      <c r="A16" s="10">
        <v>12</v>
      </c>
      <c r="B16" s="16" t="s">
        <v>29</v>
      </c>
      <c r="C16" s="17" t="s">
        <v>30</v>
      </c>
      <c r="D16" s="17" t="s">
        <v>240</v>
      </c>
      <c r="E16" s="17" t="s">
        <v>241</v>
      </c>
      <c r="F16" s="12" t="s">
        <v>233</v>
      </c>
      <c r="G16" s="17">
        <v>18</v>
      </c>
      <c r="H16" s="14">
        <v>5.4</v>
      </c>
      <c r="I16" s="12" t="s">
        <v>34</v>
      </c>
      <c r="J16" s="12" t="s">
        <v>25</v>
      </c>
      <c r="K16" s="17" t="s">
        <v>222</v>
      </c>
    </row>
    <row r="17" ht="30" hidden="1" customHeight="1" spans="1:11">
      <c r="A17" s="10">
        <v>13</v>
      </c>
      <c r="B17" s="16" t="s">
        <v>29</v>
      </c>
      <c r="C17" s="17" t="s">
        <v>30</v>
      </c>
      <c r="D17" s="17" t="s">
        <v>242</v>
      </c>
      <c r="E17" s="17" t="s">
        <v>243</v>
      </c>
      <c r="F17" s="12" t="s">
        <v>244</v>
      </c>
      <c r="G17" s="17">
        <v>14</v>
      </c>
      <c r="H17" s="14">
        <v>4.2</v>
      </c>
      <c r="I17" s="12" t="s">
        <v>34</v>
      </c>
      <c r="J17" s="12" t="s">
        <v>25</v>
      </c>
      <c r="K17" s="17" t="s">
        <v>222</v>
      </c>
    </row>
    <row r="18" ht="30" hidden="1" customHeight="1" spans="1:11">
      <c r="A18" s="10">
        <v>14</v>
      </c>
      <c r="B18" s="16" t="s">
        <v>29</v>
      </c>
      <c r="C18" s="17" t="s">
        <v>30</v>
      </c>
      <c r="D18" s="17" t="s">
        <v>245</v>
      </c>
      <c r="E18" s="17" t="s">
        <v>246</v>
      </c>
      <c r="F18" s="12" t="s">
        <v>247</v>
      </c>
      <c r="G18" s="17">
        <v>40</v>
      </c>
      <c r="H18" s="14">
        <v>12</v>
      </c>
      <c r="I18" s="12" t="s">
        <v>34</v>
      </c>
      <c r="J18" s="12" t="s">
        <v>25</v>
      </c>
      <c r="K18" s="17" t="s">
        <v>211</v>
      </c>
    </row>
    <row r="19" ht="30" hidden="1" customHeight="1" spans="1:11">
      <c r="A19" s="10">
        <v>15</v>
      </c>
      <c r="B19" s="16" t="s">
        <v>29</v>
      </c>
      <c r="C19" s="17" t="s">
        <v>30</v>
      </c>
      <c r="D19" s="17" t="s">
        <v>248</v>
      </c>
      <c r="E19" s="17" t="s">
        <v>249</v>
      </c>
      <c r="F19" s="12" t="s">
        <v>250</v>
      </c>
      <c r="G19" s="17">
        <v>32</v>
      </c>
      <c r="H19" s="14">
        <v>9.6</v>
      </c>
      <c r="I19" s="12" t="s">
        <v>34</v>
      </c>
      <c r="J19" s="12" t="s">
        <v>25</v>
      </c>
      <c r="K19" s="17" t="s">
        <v>211</v>
      </c>
    </row>
    <row r="20" ht="30" hidden="1" customHeight="1" spans="1:11">
      <c r="A20" s="10">
        <v>16</v>
      </c>
      <c r="B20" s="11" t="s">
        <v>203</v>
      </c>
      <c r="C20" s="12" t="s">
        <v>195</v>
      </c>
      <c r="D20" s="18" t="s">
        <v>251</v>
      </c>
      <c r="E20" s="18" t="s">
        <v>252</v>
      </c>
      <c r="F20" s="12" t="s">
        <v>253</v>
      </c>
      <c r="G20" s="12">
        <v>75</v>
      </c>
      <c r="H20" s="12">
        <v>22.5</v>
      </c>
      <c r="I20" s="12" t="s">
        <v>254</v>
      </c>
      <c r="J20" s="12" t="s">
        <v>25</v>
      </c>
      <c r="K20" s="17" t="s">
        <v>211</v>
      </c>
    </row>
    <row r="21" ht="30" customHeight="1" spans="1:11">
      <c r="A21" s="10">
        <v>17</v>
      </c>
      <c r="B21" s="11" t="s">
        <v>35</v>
      </c>
      <c r="C21" s="12" t="s">
        <v>36</v>
      </c>
      <c r="D21" s="12" t="s">
        <v>255</v>
      </c>
      <c r="E21" s="12" t="s">
        <v>256</v>
      </c>
      <c r="F21" s="12" t="s">
        <v>257</v>
      </c>
      <c r="G21" s="12">
        <v>45</v>
      </c>
      <c r="H21" s="12">
        <v>13.5</v>
      </c>
      <c r="I21" s="12" t="s">
        <v>38</v>
      </c>
      <c r="J21" s="12" t="s">
        <v>25</v>
      </c>
      <c r="K21" s="17" t="s">
        <v>211</v>
      </c>
    </row>
    <row r="22" ht="30" customHeight="1" spans="1:11">
      <c r="A22" s="10">
        <v>18</v>
      </c>
      <c r="B22" s="11" t="s">
        <v>35</v>
      </c>
      <c r="C22" s="12" t="s">
        <v>36</v>
      </c>
      <c r="D22" s="12" t="s">
        <v>258</v>
      </c>
      <c r="E22" s="12" t="s">
        <v>259</v>
      </c>
      <c r="F22" s="12" t="s">
        <v>260</v>
      </c>
      <c r="G22" s="12">
        <v>28</v>
      </c>
      <c r="H22" s="12">
        <v>8.4</v>
      </c>
      <c r="I22" s="12" t="s">
        <v>38</v>
      </c>
      <c r="J22" s="12" t="s">
        <v>25</v>
      </c>
      <c r="K22" s="17" t="s">
        <v>211</v>
      </c>
    </row>
    <row r="23" ht="30" customHeight="1" spans="1:11">
      <c r="A23" s="10">
        <v>19</v>
      </c>
      <c r="B23" s="11" t="s">
        <v>35</v>
      </c>
      <c r="C23" s="12" t="s">
        <v>112</v>
      </c>
      <c r="D23" s="17" t="s">
        <v>261</v>
      </c>
      <c r="E23" s="17" t="s">
        <v>262</v>
      </c>
      <c r="F23" s="12" t="s">
        <v>263</v>
      </c>
      <c r="G23" s="17">
        <v>35</v>
      </c>
      <c r="H23" s="12">
        <v>10.5</v>
      </c>
      <c r="I23" s="12" t="s">
        <v>38</v>
      </c>
      <c r="J23" s="12" t="s">
        <v>25</v>
      </c>
      <c r="K23" s="17" t="s">
        <v>211</v>
      </c>
    </row>
  </sheetData>
  <autoFilter ref="A3:K23">
    <filterColumn colId="1">
      <customFilters>
        <customFilter operator="equal" val="左安镇"/>
      </customFilters>
    </filterColumn>
    <extLst/>
  </autoFilter>
  <mergeCells count="3">
    <mergeCell ref="A1:D1"/>
    <mergeCell ref="A2:K2"/>
    <mergeCell ref="A4:B4"/>
  </mergeCells>
  <pageMargins left="0.75" right="0.75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附件1</vt:lpstr>
      <vt:lpstr>附件2</vt:lpstr>
      <vt:lpstr>附件3</vt:lpstr>
      <vt:lpstr>附件4</vt:lpstr>
      <vt:lpstr>附件5</vt:lpstr>
      <vt:lpstr>附件6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搁浅</cp:lastModifiedBy>
  <dcterms:created xsi:type="dcterms:W3CDTF">2018-02-05T01:53:00Z</dcterms:created>
  <cp:lastPrinted>2018-02-12T06:45:00Z</cp:lastPrinted>
  <dcterms:modified xsi:type="dcterms:W3CDTF">2018-06-15T04:02:49Z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