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<sst xmlns="http://schemas.openxmlformats.org/spreadsheetml/2006/main" count="58">
  <si>
    <t>遂川县十三五非贫困村25户以上自然村通水泥路建设计划项目表（已列交通口计划未实施）</t>
  </si>
  <si>
    <t>序号</t>
  </si>
  <si>
    <t>县(区)</t>
  </si>
  <si>
    <t>乡(镇)</t>
  </si>
  <si>
    <t>行政村</t>
  </si>
  <si>
    <t>自然村类别</t>
  </si>
  <si>
    <t>自然村名称</t>
  </si>
  <si>
    <t>户数</t>
  </si>
  <si>
    <t>农业人口</t>
  </si>
  <si>
    <t>项目名称</t>
  </si>
  <si>
    <t>路线编码</t>
  </si>
  <si>
    <t>拟建里程</t>
  </si>
  <si>
    <t>交通口已下计划里程</t>
  </si>
  <si>
    <t>省补助</t>
  </si>
  <si>
    <t>按非贫困村类别扣除省补助县财政应补助资金（万元）</t>
  </si>
  <si>
    <t>计划完成情况（完工/在建/未开工）</t>
  </si>
  <si>
    <t>本次拨入</t>
  </si>
  <si>
    <t>已经支付</t>
  </si>
  <si>
    <t>备注</t>
  </si>
  <si>
    <t>遂川县汇总</t>
  </si>
  <si>
    <t>五、左安小计</t>
  </si>
  <si>
    <t>遂川</t>
  </si>
  <si>
    <t>左安镇</t>
  </si>
  <si>
    <t>安溪</t>
  </si>
  <si>
    <t>二类</t>
  </si>
  <si>
    <t>苑塘</t>
  </si>
  <si>
    <t>山青至苑塘</t>
  </si>
  <si>
    <t>V916360827</t>
  </si>
  <si>
    <t>未开工</t>
  </si>
  <si>
    <t>改为梅坪至清泉</t>
  </si>
  <si>
    <t>曲溪</t>
  </si>
  <si>
    <t>三类</t>
  </si>
  <si>
    <t>扇溪</t>
  </si>
  <si>
    <t>曲溪至扇溪</t>
  </si>
  <si>
    <t>V984360827</t>
  </si>
  <si>
    <t>圆溪</t>
  </si>
  <si>
    <t>上员</t>
  </si>
  <si>
    <t>村道至上员</t>
  </si>
  <si>
    <t>上西</t>
  </si>
  <si>
    <t>村道至上西</t>
  </si>
  <si>
    <t>梅溪</t>
  </si>
  <si>
    <t>村道至梅溪</t>
  </si>
  <si>
    <t>梯岭</t>
  </si>
  <si>
    <t>中员</t>
  </si>
  <si>
    <t>村道至中元</t>
  </si>
  <si>
    <t>盘子</t>
  </si>
  <si>
    <t>村道至盘子</t>
  </si>
  <si>
    <t>更新</t>
  </si>
  <si>
    <t>村道至更新</t>
  </si>
  <si>
    <t>红裕</t>
  </si>
  <si>
    <t>中塅</t>
  </si>
  <si>
    <t>遂桂公路至中段</t>
  </si>
  <si>
    <t>V966360827</t>
  </si>
  <si>
    <t>白云</t>
  </si>
  <si>
    <t>下曾</t>
  </si>
  <si>
    <t>村道至下曾</t>
  </si>
  <si>
    <t>VR37360827</t>
  </si>
  <si>
    <t/>
  </si>
</sst>
</file>

<file path=xl/styles.xml><?xml version="1.0" encoding="utf-8"?>
<styleSheet xmlns="http://schemas.openxmlformats.org/spreadsheetml/2006/main">
  <numFmts count="5">
    <numFmt numFmtId="176" formatCode="0.0_);[Red]\(0.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10"/>
      <name val="宋体"/>
      <charset val="134"/>
    </font>
    <font>
      <b/>
      <sz val="18"/>
      <name val="楷体"/>
      <charset val="134"/>
    </font>
    <font>
      <sz val="12"/>
      <name val="黑体"/>
      <charset val="134"/>
    </font>
    <font>
      <sz val="12"/>
      <name val="宋体"/>
      <charset val="134"/>
    </font>
    <font>
      <b/>
      <sz val="11"/>
      <color indexed="8"/>
      <name val="宋体"/>
      <charset val="134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5" fillId="19" borderId="12" applyNumberFormat="0" applyAlignment="0" applyProtection="0">
      <alignment vertical="center"/>
    </xf>
    <xf numFmtId="0" fontId="26" fillId="19" borderId="7" applyNumberFormat="0" applyAlignment="0" applyProtection="0">
      <alignment vertical="center"/>
    </xf>
    <xf numFmtId="0" fontId="27" fillId="22" borderId="13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Font="1" applyAlignment="1"/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76" fontId="4" fillId="0" borderId="0" xfId="0" applyNumberFormat="1" applyFont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3" fillId="0" borderId="2" xfId="0" applyNumberFormat="1" applyFont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7" fillId="0" borderId="2" xfId="50" applyFont="1" applyFill="1" applyBorder="1" applyAlignment="1" applyProtection="1">
      <alignment horizontal="center" vertical="center" wrapText="1"/>
    </xf>
    <xf numFmtId="0" fontId="7" fillId="0" borderId="2" xfId="50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0" fontId="2" fillId="0" borderId="2" xfId="0" applyNumberFormat="1" applyFont="1" applyBorder="1" applyAlignment="1" applyProtection="1">
      <alignment horizontal="center" vertical="center"/>
    </xf>
    <xf numFmtId="176" fontId="2" fillId="0" borderId="2" xfId="0" applyNumberFormat="1" applyFont="1" applyBorder="1" applyAlignment="1" applyProtection="1">
      <alignment horizontal="center" vertical="center"/>
    </xf>
    <xf numFmtId="176" fontId="3" fillId="0" borderId="2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8" fillId="0" borderId="0" xfId="0" applyFont="1" applyAlignment="1"/>
    <xf numFmtId="0" fontId="3" fillId="0" borderId="2" xfId="0" applyFont="1" applyFill="1" applyBorder="1" applyAlignment="1" applyProtection="1">
      <alignment horizontal="center" vertical="center" wrapText="1"/>
    </xf>
    <xf numFmtId="0" fontId="8" fillId="0" borderId="0" xfId="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12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Q6" sqref="Q6"/>
    </sheetView>
  </sheetViews>
  <sheetFormatPr defaultColWidth="9" defaultRowHeight="13.5"/>
  <cols>
    <col min="1" max="1" width="4.625" customWidth="1"/>
    <col min="2" max="2" width="4.875" customWidth="1"/>
    <col min="3" max="3" width="7.125" customWidth="1"/>
    <col min="4" max="4" width="5.5" customWidth="1"/>
    <col min="5" max="5" width="7.375" customWidth="1"/>
    <col min="6" max="6" width="8" customWidth="1"/>
    <col min="7" max="7" width="4.25" customWidth="1"/>
    <col min="8" max="8" width="4.5" customWidth="1"/>
    <col min="9" max="9" width="12.5" customWidth="1"/>
    <col min="10" max="10" width="13" customWidth="1"/>
    <col min="11" max="11" width="7" customWidth="1"/>
    <col min="12" max="12" width="6.875" style="5" customWidth="1"/>
    <col min="13" max="13" width="7.125" customWidth="1"/>
    <col min="14" max="14" width="13.5" customWidth="1"/>
    <col min="15" max="17" width="10.125" customWidth="1"/>
    <col min="18" max="18" width="14.875" customWidth="1"/>
  </cols>
  <sheetData>
    <row r="1" s="1" customFormat="1" ht="39.95" customHeight="1" spans="1:1">
      <c r="A1" s="6" t="s">
        <v>0</v>
      </c>
    </row>
    <row r="2" s="1" customFormat="1" ht="69" customHeight="1" spans="1:1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19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</row>
    <row r="3" s="2" customFormat="1" ht="24" customHeight="1" outlineLevel="1" spans="1:18">
      <c r="A3" s="8"/>
      <c r="B3" s="9" t="s">
        <v>19</v>
      </c>
      <c r="C3" s="8"/>
      <c r="D3" s="8"/>
      <c r="E3" s="8"/>
      <c r="F3" s="8"/>
      <c r="G3" s="10"/>
      <c r="H3" s="10"/>
      <c r="I3" s="8"/>
      <c r="J3" s="8"/>
      <c r="K3" s="20" t="e">
        <f>SUM(#REF!,#REF!,#REF!,#REF!,K4,#REF!,#REF!,#REF!,#REF!,#REF!,#REF!,#REF!,#REF!,#REF!,#REF!,#REF!,#REF!,#REF!,#REF!)</f>
        <v>#REF!</v>
      </c>
      <c r="L3" s="21"/>
      <c r="M3" s="20" t="e">
        <f>SUM(#REF!,#REF!,#REF!,#REF!,M4,#REF!,#REF!,#REF!,#REF!,#REF!,#REF!,#REF!,#REF!,#REF!,#REF!,#REF!,#REF!,#REF!,#REF!)</f>
        <v>#REF!</v>
      </c>
      <c r="N3" s="20" t="e">
        <f>SUM(#REF!,#REF!,#REF!,#REF!,N4,#REF!,#REF!,#REF!,#REF!,#REF!,#REF!,#REF!,#REF!,#REF!,#REF!,#REF!,#REF!,#REF!,#REF!,#REF!)</f>
        <v>#REF!</v>
      </c>
      <c r="O3" s="10"/>
      <c r="P3" s="10"/>
      <c r="Q3" s="10"/>
      <c r="R3" s="8"/>
    </row>
    <row r="4" s="3" customFormat="1" ht="24" customHeight="1" outlineLevel="2" spans="1:19">
      <c r="A4" s="11" t="s">
        <v>20</v>
      </c>
      <c r="B4" s="12"/>
      <c r="C4" s="13"/>
      <c r="D4" s="14"/>
      <c r="E4" s="14"/>
      <c r="F4" s="14"/>
      <c r="G4" s="14"/>
      <c r="H4" s="14"/>
      <c r="I4" s="14"/>
      <c r="J4" s="14"/>
      <c r="K4" s="14">
        <f>SUM(K5:K14)</f>
        <v>10.78</v>
      </c>
      <c r="L4" s="22"/>
      <c r="M4" s="14">
        <f>SUM(M5:M14)</f>
        <v>73</v>
      </c>
      <c r="N4" s="14">
        <f>SUM(N5:N14)</f>
        <v>269.8</v>
      </c>
      <c r="O4" s="14"/>
      <c r="P4" s="14"/>
      <c r="Q4" s="14"/>
      <c r="R4" s="23"/>
      <c r="S4" s="24"/>
    </row>
    <row r="5" s="4" customFormat="1" ht="24" customHeight="1" outlineLevel="2" spans="1:19">
      <c r="A5" s="14">
        <v>1</v>
      </c>
      <c r="B5" s="14" t="s">
        <v>21</v>
      </c>
      <c r="C5" s="14" t="s">
        <v>22</v>
      </c>
      <c r="D5" s="14" t="s">
        <v>23</v>
      </c>
      <c r="E5" s="14" t="s">
        <v>24</v>
      </c>
      <c r="F5" s="14" t="s">
        <v>25</v>
      </c>
      <c r="G5" s="14">
        <v>25</v>
      </c>
      <c r="H5" s="14">
        <v>86</v>
      </c>
      <c r="I5" s="14" t="s">
        <v>26</v>
      </c>
      <c r="J5" s="14" t="s">
        <v>27</v>
      </c>
      <c r="K5" s="14">
        <v>3</v>
      </c>
      <c r="L5" s="14">
        <v>3</v>
      </c>
      <c r="M5" s="14">
        <f>L5*10</f>
        <v>30</v>
      </c>
      <c r="N5" s="14">
        <f>IF(E5="一类",K5*25,IF(E5="二类",K5*30,IF(E5="三类",K5*35)))-M5</f>
        <v>60</v>
      </c>
      <c r="O5" s="14" t="s">
        <v>28</v>
      </c>
      <c r="P5" s="14">
        <v>33.864</v>
      </c>
      <c r="Q5" s="14">
        <v>30</v>
      </c>
      <c r="R5" s="25" t="s">
        <v>29</v>
      </c>
      <c r="S5">
        <v>30</v>
      </c>
    </row>
    <row r="6" s="4" customFormat="1" ht="24" customHeight="1" outlineLevel="2" spans="1:19">
      <c r="A6" s="14">
        <v>2</v>
      </c>
      <c r="B6" s="14" t="s">
        <v>21</v>
      </c>
      <c r="C6" s="14" t="s">
        <v>22</v>
      </c>
      <c r="D6" s="14" t="s">
        <v>30</v>
      </c>
      <c r="E6" s="14" t="s">
        <v>31</v>
      </c>
      <c r="F6" s="14" t="s">
        <v>32</v>
      </c>
      <c r="G6" s="14">
        <v>118</v>
      </c>
      <c r="H6" s="14">
        <v>389</v>
      </c>
      <c r="I6" s="14" t="s">
        <v>33</v>
      </c>
      <c r="J6" s="14" t="s">
        <v>34</v>
      </c>
      <c r="K6" s="14">
        <v>2.7</v>
      </c>
      <c r="L6" s="14">
        <v>2.7</v>
      </c>
      <c r="M6" s="14">
        <f>L6*10</f>
        <v>27</v>
      </c>
      <c r="N6" s="14">
        <f>IF(E6="一类",K6*25,IF(E6="二类",K6*30,IF(E6="三类",K6*35)))-M6</f>
        <v>67.5</v>
      </c>
      <c r="O6" s="14" t="s">
        <v>28</v>
      </c>
      <c r="P6" s="14">
        <v>38.097</v>
      </c>
      <c r="Q6" s="14">
        <v>38.097</v>
      </c>
      <c r="R6" s="25"/>
      <c r="S6" s="26"/>
    </row>
    <row r="7" s="4" customFormat="1" ht="24" customHeight="1" outlineLevel="2" spans="1:19">
      <c r="A7" s="14">
        <v>3</v>
      </c>
      <c r="B7" s="14" t="s">
        <v>21</v>
      </c>
      <c r="C7" s="14" t="s">
        <v>22</v>
      </c>
      <c r="D7" s="15" t="s">
        <v>35</v>
      </c>
      <c r="E7" s="15" t="s">
        <v>31</v>
      </c>
      <c r="F7" s="15" t="s">
        <v>36</v>
      </c>
      <c r="G7" s="15"/>
      <c r="H7" s="15"/>
      <c r="I7" s="15" t="s">
        <v>37</v>
      </c>
      <c r="J7" s="15"/>
      <c r="K7" s="15">
        <v>0.38</v>
      </c>
      <c r="L7" s="15">
        <v>0</v>
      </c>
      <c r="M7" s="15">
        <v>0</v>
      </c>
      <c r="N7" s="15">
        <f>IF(E7="一类",K7*25,IF(E7="二类",K7*30,IF(E7="三类",K7*35)))</f>
        <v>13.3</v>
      </c>
      <c r="O7" s="14" t="s">
        <v>28</v>
      </c>
      <c r="P7" s="14">
        <v>7.5065</v>
      </c>
      <c r="Q7" s="14"/>
      <c r="R7" s="15"/>
      <c r="S7" s="26"/>
    </row>
    <row r="8" s="4" customFormat="1" ht="24" customHeight="1" outlineLevel="2" spans="1:19">
      <c r="A8" s="14">
        <v>4</v>
      </c>
      <c r="B8" s="14" t="s">
        <v>21</v>
      </c>
      <c r="C8" s="14" t="s">
        <v>22</v>
      </c>
      <c r="D8" s="15" t="s">
        <v>35</v>
      </c>
      <c r="E8" s="15" t="s">
        <v>31</v>
      </c>
      <c r="F8" s="15" t="s">
        <v>38</v>
      </c>
      <c r="G8" s="15"/>
      <c r="H8" s="15"/>
      <c r="I8" s="15" t="s">
        <v>39</v>
      </c>
      <c r="J8" s="15"/>
      <c r="K8" s="15">
        <v>0.6</v>
      </c>
      <c r="L8" s="15">
        <v>0</v>
      </c>
      <c r="M8" s="15">
        <v>0</v>
      </c>
      <c r="N8" s="15">
        <f t="shared" ref="N8:N12" si="0">IF(E8="一类",K8*25,IF(E8="二类",K8*30,IF(E8="三类",K8*35)))</f>
        <v>21</v>
      </c>
      <c r="O8" s="14" t="s">
        <v>28</v>
      </c>
      <c r="P8" s="14">
        <v>11.8524</v>
      </c>
      <c r="Q8" s="14"/>
      <c r="R8" s="15"/>
      <c r="S8" s="26"/>
    </row>
    <row r="9" s="4" customFormat="1" ht="24" customHeight="1" outlineLevel="2" spans="1:19">
      <c r="A9" s="14">
        <v>5</v>
      </c>
      <c r="B9" s="14" t="s">
        <v>21</v>
      </c>
      <c r="C9" s="14" t="s">
        <v>22</v>
      </c>
      <c r="D9" s="15" t="s">
        <v>35</v>
      </c>
      <c r="E9" s="15" t="s">
        <v>31</v>
      </c>
      <c r="F9" s="15" t="s">
        <v>40</v>
      </c>
      <c r="G9" s="15"/>
      <c r="H9" s="15"/>
      <c r="I9" s="15" t="s">
        <v>41</v>
      </c>
      <c r="J9" s="15"/>
      <c r="K9" s="15">
        <v>0.2</v>
      </c>
      <c r="L9" s="15">
        <v>0</v>
      </c>
      <c r="M9" s="15">
        <v>0</v>
      </c>
      <c r="N9" s="15">
        <f t="shared" si="0"/>
        <v>7</v>
      </c>
      <c r="O9" s="14" t="s">
        <v>28</v>
      </c>
      <c r="P9" s="14">
        <v>3.9508</v>
      </c>
      <c r="Q9" s="14"/>
      <c r="R9" s="15"/>
      <c r="S9" s="26"/>
    </row>
    <row r="10" s="4" customFormat="1" ht="24" customHeight="1" outlineLevel="2" spans="1:19">
      <c r="A10" s="14">
        <v>6</v>
      </c>
      <c r="B10" s="14" t="s">
        <v>21</v>
      </c>
      <c r="C10" s="14" t="s">
        <v>22</v>
      </c>
      <c r="D10" s="15" t="s">
        <v>42</v>
      </c>
      <c r="E10" s="15" t="s">
        <v>24</v>
      </c>
      <c r="F10" s="15" t="s">
        <v>43</v>
      </c>
      <c r="G10" s="15"/>
      <c r="H10" s="15"/>
      <c r="I10" s="15" t="s">
        <v>44</v>
      </c>
      <c r="J10" s="15"/>
      <c r="K10" s="15">
        <v>0.6</v>
      </c>
      <c r="L10" s="15">
        <v>0</v>
      </c>
      <c r="M10" s="15">
        <v>0</v>
      </c>
      <c r="N10" s="15">
        <f t="shared" si="0"/>
        <v>18</v>
      </c>
      <c r="O10" s="14" t="s">
        <v>28</v>
      </c>
      <c r="P10" s="14">
        <v>10.1592</v>
      </c>
      <c r="Q10" s="14">
        <v>9</v>
      </c>
      <c r="R10" s="15"/>
      <c r="S10" s="26"/>
    </row>
    <row r="11" s="4" customFormat="1" ht="24" customHeight="1" outlineLevel="2" spans="1:19">
      <c r="A11" s="14">
        <v>7</v>
      </c>
      <c r="B11" s="14" t="s">
        <v>21</v>
      </c>
      <c r="C11" s="14" t="s">
        <v>22</v>
      </c>
      <c r="D11" s="15" t="s">
        <v>42</v>
      </c>
      <c r="E11" s="15" t="s">
        <v>24</v>
      </c>
      <c r="F11" s="15" t="s">
        <v>45</v>
      </c>
      <c r="G11" s="15"/>
      <c r="H11" s="15"/>
      <c r="I11" s="15" t="s">
        <v>46</v>
      </c>
      <c r="J11" s="15"/>
      <c r="K11" s="15">
        <v>1</v>
      </c>
      <c r="L11" s="15">
        <v>0</v>
      </c>
      <c r="M11" s="15">
        <v>0</v>
      </c>
      <c r="N11" s="15">
        <f t="shared" si="0"/>
        <v>30</v>
      </c>
      <c r="O11" s="14" t="s">
        <v>28</v>
      </c>
      <c r="P11" s="14">
        <v>16.932</v>
      </c>
      <c r="Q11" s="14">
        <v>15</v>
      </c>
      <c r="R11" s="15"/>
      <c r="S11" s="26"/>
    </row>
    <row r="12" s="4" customFormat="1" ht="24" customHeight="1" outlineLevel="2" spans="1:19">
      <c r="A12" s="14">
        <v>8</v>
      </c>
      <c r="B12" s="14" t="s">
        <v>21</v>
      </c>
      <c r="C12" s="14" t="s">
        <v>22</v>
      </c>
      <c r="D12" s="15" t="s">
        <v>42</v>
      </c>
      <c r="E12" s="15" t="s">
        <v>24</v>
      </c>
      <c r="F12" s="15" t="s">
        <v>47</v>
      </c>
      <c r="G12" s="15"/>
      <c r="H12" s="15"/>
      <c r="I12" s="15" t="s">
        <v>48</v>
      </c>
      <c r="J12" s="15"/>
      <c r="K12" s="15">
        <v>0.7</v>
      </c>
      <c r="L12" s="15">
        <v>0</v>
      </c>
      <c r="M12" s="15">
        <v>0</v>
      </c>
      <c r="N12" s="15">
        <f t="shared" si="0"/>
        <v>21</v>
      </c>
      <c r="O12" s="14" t="s">
        <v>28</v>
      </c>
      <c r="P12" s="14">
        <v>11.8524</v>
      </c>
      <c r="Q12" s="14">
        <v>11</v>
      </c>
      <c r="R12" s="15"/>
      <c r="S12" s="26"/>
    </row>
    <row r="13" s="4" customFormat="1" ht="24" customHeight="1" outlineLevel="2" spans="1:19">
      <c r="A13" s="14">
        <v>9</v>
      </c>
      <c r="B13" s="14" t="s">
        <v>21</v>
      </c>
      <c r="C13" s="14" t="s">
        <v>22</v>
      </c>
      <c r="D13" s="16" t="s">
        <v>49</v>
      </c>
      <c r="E13" s="14" t="s">
        <v>24</v>
      </c>
      <c r="F13" s="17" t="s">
        <v>50</v>
      </c>
      <c r="G13" s="18">
        <v>46</v>
      </c>
      <c r="H13" s="18">
        <v>155</v>
      </c>
      <c r="I13" s="16" t="s">
        <v>51</v>
      </c>
      <c r="J13" s="17" t="s">
        <v>52</v>
      </c>
      <c r="K13" s="16">
        <v>0.8</v>
      </c>
      <c r="L13" s="16">
        <v>0.8</v>
      </c>
      <c r="M13" s="16">
        <v>8</v>
      </c>
      <c r="N13" s="16">
        <f t="shared" ref="N13" si="1">(IF(E13="一类",K13*25,IF(E13="二类",K13*30,IF(E13="三类",K13*35)))-K13*10)</f>
        <v>16</v>
      </c>
      <c r="O13" s="14" t="s">
        <v>28</v>
      </c>
      <c r="P13" s="14">
        <v>9.0304</v>
      </c>
      <c r="Q13" s="14"/>
      <c r="R13" s="16"/>
      <c r="S13" s="26"/>
    </row>
    <row r="14" s="4" customFormat="1" ht="24" customHeight="1" outlineLevel="2" spans="1:19">
      <c r="A14" s="14">
        <v>11</v>
      </c>
      <c r="B14" s="14" t="s">
        <v>21</v>
      </c>
      <c r="C14" s="14" t="s">
        <v>22</v>
      </c>
      <c r="D14" s="14" t="s">
        <v>53</v>
      </c>
      <c r="E14" s="14" t="s">
        <v>24</v>
      </c>
      <c r="F14" s="14" t="s">
        <v>54</v>
      </c>
      <c r="G14" s="14">
        <v>40</v>
      </c>
      <c r="H14" s="14">
        <v>135</v>
      </c>
      <c r="I14" s="14" t="s">
        <v>55</v>
      </c>
      <c r="J14" s="14" t="s">
        <v>56</v>
      </c>
      <c r="K14" s="14">
        <v>0.8</v>
      </c>
      <c r="L14" s="14">
        <v>0.8</v>
      </c>
      <c r="M14" s="14">
        <f>L14*10</f>
        <v>8</v>
      </c>
      <c r="N14" s="14">
        <f>IF(E14="一类",K14*25,IF(E14="二类",K14*30,IF(E14="三类",K14*35)))-M14</f>
        <v>16</v>
      </c>
      <c r="O14" s="14" t="s">
        <v>28</v>
      </c>
      <c r="P14" s="14">
        <v>9.0304</v>
      </c>
      <c r="Q14" s="14"/>
      <c r="R14" s="25" t="s">
        <v>57</v>
      </c>
      <c r="S14"/>
    </row>
    <row r="15" ht="20.25" customHeight="1"/>
    <row r="16" ht="20.25" customHeight="1"/>
  </sheetData>
  <mergeCells count="2">
    <mergeCell ref="A1:R1"/>
    <mergeCell ref="A4:C4"/>
  </mergeCells>
  <pageMargins left="0.699305555555556" right="0.699305555555556" top="0.75" bottom="0.75" header="0.3" footer="0.3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搁浅</cp:lastModifiedBy>
  <dcterms:created xsi:type="dcterms:W3CDTF">2006-09-13T11:21:00Z</dcterms:created>
  <dcterms:modified xsi:type="dcterms:W3CDTF">2018-07-10T08:40:40Z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